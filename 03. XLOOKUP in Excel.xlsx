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A:\Data Anyletics\Excel\Advance Excel With Data Analytics\"/>
    </mc:Choice>
  </mc:AlternateContent>
  <xr:revisionPtr revIDLastSave="0" documentId="13_ncr:1_{51748C22-2F99-40BE-B50F-A41923C66BBF}" xr6:coauthVersionLast="47" xr6:coauthVersionMax="47" xr10:uidLastSave="{00000000-0000-0000-0000-000000000000}"/>
  <bookViews>
    <workbookView xWindow="-110" yWindow="-110" windowWidth="25820" windowHeight="1539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 a="1"/>
  <c r="J6" i="1" s="1"/>
  <c r="J7" i="1" a="1"/>
  <c r="J7" i="1" s="1"/>
  <c r="J8" i="1" a="1"/>
  <c r="J8" i="1" s="1"/>
  <c r="J9" i="1" a="1"/>
  <c r="J9" i="1" s="1"/>
  <c r="J5" i="1" a="1"/>
  <c r="J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<sst xmlns="http://schemas.openxmlformats.org/spreadsheetml/2006/main" count="39" uniqueCount="29">
  <si>
    <t>ProductID</t>
  </si>
  <si>
    <t>ProductName</t>
  </si>
  <si>
    <t>Category</t>
  </si>
  <si>
    <t>Price</t>
  </si>
  <si>
    <t>P1001</t>
  </si>
  <si>
    <t>Notebook</t>
  </si>
  <si>
    <t>Stationery</t>
  </si>
  <si>
    <t>P1002</t>
  </si>
  <si>
    <t>P1003</t>
  </si>
  <si>
    <t>USB Cable</t>
  </si>
  <si>
    <t>Electronics</t>
  </si>
  <si>
    <t>P1005</t>
  </si>
  <si>
    <t>Water Bottle</t>
  </si>
  <si>
    <t>Lifestyle</t>
  </si>
  <si>
    <t>P1004</t>
  </si>
  <si>
    <t>Mouse</t>
  </si>
  <si>
    <t>OrderID</t>
  </si>
  <si>
    <t>Qty</t>
  </si>
  <si>
    <t>O-001</t>
  </si>
  <si>
    <t>O-002</t>
  </si>
  <si>
    <t>O-003</t>
  </si>
  <si>
    <t>O-004</t>
  </si>
  <si>
    <t>O-005</t>
  </si>
  <si>
    <t>P9999</t>
  </si>
  <si>
    <t>Pen doms</t>
  </si>
  <si>
    <t>XLOOKUP in Excel</t>
  </si>
  <si>
    <t xml:space="preserve"> </t>
  </si>
  <si>
    <t>P1002 sales</t>
  </si>
  <si>
    <t>XLOOKUP in Excel
XLOOKUP is the modern replacement for VLOOKUP and HLOOKUP.
Why data analysts like XLOOKUP:
Exact match by default (no more "forgot to type FALSE")
Can look left or right (no column-index limitation)
Built-in if_not_found message
Can return multiple columns at once (spills automatically)
Can search from last to first (useful for "latest value" problems)
Note: XLOOKUP is available in Microsoft 365 and Excel 2021+. If you don't have it, use VLOOKUP/HLOOKUP or INDEX + MATCH.
Syntax
=XLOOKUP(lookup_value, lookup_array, return_array, [if_not_found], [match_mode], [search_mode])
lookup_value: the value to find
lookup_array: where to search (a single row/column)
return_array: what to return (must be the same size as lookup_array)
if_not_found (optional): what to show if there's no match
match_mode (optional):
0 exact match (default)
-1 exact or next smaller
1 exact or next larger
2 wildcard match (* and ?)
search_mode (optional):
1 first-to-last (default)
-1 last-to-first (great for "latest record")
Sample data (Products)
Paste this into Excel (start in cell A1 on a sheet named Products):
ProductID	ProductName	Category	Price
P1001	Notebook	Stationery	50
P1002	Pen	Stationery	10
P1003	USB Cable	Electronics	199
P1004	Mouse	Electronics	499
P1005	Water Bottle	Lifestyle	299
Copy-paste (TSV):
ProductID	ProductName	Category	Price
P1001	Notebook	Stationery	50
P1002	Pen	Stationery	10
P1003	USB Cable	Electronics	199
P1004	Mouse	Electronics	499
P1005	Water Bottle	Lifestyle	299
Example 1: Basic exact match (ProductID -&gt; Price)
If E2 contains a ProductID:
=XLOOKUP(E2, Products!$A$2:$A$6, Products!$D$2:$D$6, "Not found")
Example 2: Return multiple columns (spill)
If E2 contains a ProductID, this returns ProductName, Category, Price in one shot:
=XLOOKUP(E2, Products!$A$2:$A$6, Products!$B$2:$D$6, "Not found")
Example 3: Lookup to the left (ProductName -&gt; ProductID)
VLOOKUP can't easily "look left", but XLOOKUP can.
If G2 has the ProductName:
=XLOOKUP(G2, Products!$B$2:$B$6, Products!$A$2:$A$6, "Not found")
Example 4: Approximate match for slabs (Score -&gt; Grade)
Paste this into Excel (start in A1):
MinScore	Grade
0	F
50	D
60	C
70	B
85	A
Copy-paste (TSV):
MinScore	Grade
0	F
50	D
60	C
70	B
85	A
If the score is in D2, then:
=XLOOKUP(D2, $A$2:$A$6, $B$2:$B$6, "Invalid", -1)
-1 means: exact match, or the next smaller boundary (so the slab table should be sorted ascending).
Example 5: Wildcard / partial text match
If the user types usb in J2 and you want to find the matching ProductID:
=XLOOKUP("*"&amp;J2&amp;"*", Products!$B$2:$B$6, Products!$A$2:$A$6, "Not found", 2)
match_mode = 2 enables wildcard matching.
Example 6: Get the latest value (last-to-first search)
This is very common in analytics: "give me the most recent price/status for this ID".
Paste this table into Excel (start in A1):
Date	ProductID	Price
2025-01-05	P1003	199
2025-02-10	P1003	179
2025-03-20	P1003	189
2025-01-15	P1004	499
2025-03-05	P1004	449
Copy-paste (TSV):
Date	ProductID	Price
2025-01-05	P1003	199
2025-02-10	P1003	179
2025-03-20	P1003	189
2025-01-15	P1004	499
2025-03-05	P1004	449
If your ProductID is in F2, the last occurrence (from bottom) is:
=XLOOKUP(F2, $B$2:$B$6, $C$2:$C$6, "Not found", 0, -1)
Tip: If you sort this table by Date (oldest -&gt; newest), the "last match" becomes the latest record.
Example 7: Two-way lookup (row + column)
Sometimes your data is a matrix (like "Product x Month"). XLOOKUP can handle this by nesting.
Paste this table into Excel (start in A1):
Product	Jan	Feb	Mar
P1001	120	150	180
P1002	90	70	95
P1003	40	55	60
Copy-paste (TSV):
Product	Jan	Feb	Mar
P1001	120	150	180
P1002	90	70	95
P1003	40	55	60
If F1 has the Month (e.g., Feb) and F2 has the Product (e.g., P1002):
=XLOOKUP($F$1, $B$1:$D$1, XLOOKUP($F$2, $A$2:$A$4, $B$2:$D$4))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</si>
</sst>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4" borderId="0" xfId="0" applyFont="1" applyFill="1"/>
    <xf numFmtId="0" fontId="0" fillId="4" borderId="0" xfId="0" applyFill="1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8"/>
  <sheetViews>
    <sheetView tabSelected="1" zoomScale="130" zoomScaleNormal="130" workbookViewId="0">
      <selection activeCell="C14" sqref="C14"/>
    </sheetView>
  </sheetViews>
  <sheetFormatPr defaultRowHeight="14.5" x14ac:dyDescent="0.35"/>
  <cols>
    <col min="1" max="1" width="11.54296875" customWidth="1"/>
    <col min="2" max="2" width="17.453125" customWidth="1"/>
    <col min="3" max="3" width="18.36328125" customWidth="1"/>
    <col min="4" max="4" width="14.81640625" customWidth="1"/>
    <col min="8" max="8" width="12.90625" customWidth="1"/>
    <col min="10" max="10" width="12.6328125" customWidth="1"/>
    <col min="11" max="11" width="17.81640625" customWidth="1"/>
    <col min="12" max="12" width="15.81640625" customWidth="1"/>
    <col min="13" max="13" width="19.1796875" customWidth="1"/>
  </cols>
  <sheetData>
    <row r="2" spans="1:13" x14ac:dyDescent="0.35">
      <c r="C2" s="4" t="s">
        <v>25</v>
      </c>
      <c r="D2" s="4"/>
      <c r="E2" s="4"/>
      <c r="F2" s="4"/>
      <c r="G2" s="4"/>
      <c r="H2" s="4"/>
      <c r="I2" s="4"/>
    </row>
    <row r="3" spans="1:13" x14ac:dyDescent="0.35">
      <c r="C3" s="4"/>
      <c r="D3" s="4"/>
      <c r="E3" s="4"/>
      <c r="F3" s="4"/>
      <c r="G3" s="4"/>
      <c r="H3" s="4"/>
      <c r="I3" s="4"/>
    </row>
    <row r="4" spans="1:13" x14ac:dyDescent="0.35">
      <c r="A4" s="2" t="s">
        <v>3</v>
      </c>
      <c r="B4" s="2" t="s">
        <v>0</v>
      </c>
      <c r="C4" s="2" t="s">
        <v>1</v>
      </c>
      <c r="D4" s="2" t="s">
        <v>2</v>
      </c>
      <c r="E4" s="3"/>
      <c r="F4" s="3"/>
      <c r="G4" s="2" t="s">
        <v>16</v>
      </c>
      <c r="H4" s="2" t="s">
        <v>0</v>
      </c>
      <c r="I4" s="2" t="s">
        <v>17</v>
      </c>
      <c r="J4" s="2" t="s">
        <v>3</v>
      </c>
      <c r="K4" s="2" t="s">
        <v>0</v>
      </c>
      <c r="L4" s="2" t="s">
        <v>1</v>
      </c>
      <c r="M4" s="2" t="s">
        <v>2</v>
      </c>
    </row>
    <row r="5" spans="1:13" x14ac:dyDescent="0.35">
      <c r="A5">
        <v>50</v>
      </c>
      <c r="B5" t="s">
        <v>4</v>
      </c>
      <c r="C5" t="s">
        <v>5</v>
      </c>
      <c r="D5" t="s">
        <v>6</v>
      </c>
      <c r="E5" s="1"/>
      <c r="F5" s="1"/>
      <c r="G5" t="s">
        <v>18</v>
      </c>
      <c r="H5" t="s">
        <v>8</v>
      </c>
      <c r="I5">
        <v>2</v>
      </c>
      <c r="J5" cm="1">
        <f t="array" ref="J5:M5">_xlfn.XLOOKUP(H5&amp;"*",$B$5:$B$9,$A$5:$D$9,"-",2)</f>
        <v>199</v>
      </c>
      <c r="K5" t="str">
        <v>P1003</v>
      </c>
      <c r="L5" t="str">
        <v>USB Cable</v>
      </c>
      <c r="M5" t="str">
        <v>Electronics</v>
      </c>
    </row>
    <row r="6" spans="1:13" x14ac:dyDescent="0.35">
      <c r="A6">
        <v>10</v>
      </c>
      <c r="B6" t="s">
        <v>27</v>
      </c>
      <c r="C6" t="s">
        <v>24</v>
      </c>
      <c r="D6" t="s">
        <v>6</v>
      </c>
      <c r="E6" s="1"/>
      <c r="F6" s="1"/>
      <c r="G6" t="s">
        <v>19</v>
      </c>
      <c r="H6" t="s">
        <v>4</v>
      </c>
      <c r="I6">
        <v>5</v>
      </c>
      <c r="J6" cm="1">
        <f t="array" ref="J6:M6">_xlfn.XLOOKUP(H6&amp;"*",$B$5:$B$9,$A$5:$D$9,"-",2)</f>
        <v>50</v>
      </c>
      <c r="K6" t="str">
        <v>P1001</v>
      </c>
      <c r="L6" t="str">
        <v>Notebook</v>
      </c>
      <c r="M6" t="str">
        <v>Stationery</v>
      </c>
    </row>
    <row r="7" spans="1:13" x14ac:dyDescent="0.35">
      <c r="A7">
        <v>199</v>
      </c>
      <c r="B7" t="s">
        <v>8</v>
      </c>
      <c r="C7" t="s">
        <v>9</v>
      </c>
      <c r="D7" t="s">
        <v>10</v>
      </c>
      <c r="E7" s="1"/>
      <c r="F7" s="1"/>
      <c r="G7" t="s">
        <v>20</v>
      </c>
      <c r="H7" t="s">
        <v>14</v>
      </c>
      <c r="I7">
        <v>1</v>
      </c>
      <c r="J7" cm="1">
        <f t="array" ref="J7:M7">_xlfn.XLOOKUP(H7&amp;"*",$B$5:$B$9,$A$5:$D$9,"-",2)</f>
        <v>499</v>
      </c>
      <c r="K7" t="str">
        <v>P1004</v>
      </c>
      <c r="L7" t="str">
        <v>Mouse</v>
      </c>
      <c r="M7" t="str">
        <v>Electronics</v>
      </c>
    </row>
    <row r="8" spans="1:13" x14ac:dyDescent="0.35">
      <c r="A8">
        <v>299</v>
      </c>
      <c r="B8" t="s">
        <v>11</v>
      </c>
      <c r="C8" t="s">
        <v>12</v>
      </c>
      <c r="D8" t="s">
        <v>13</v>
      </c>
      <c r="E8" s="1"/>
      <c r="F8" s="1"/>
      <c r="G8" t="s">
        <v>21</v>
      </c>
      <c r="H8" t="s">
        <v>7</v>
      </c>
      <c r="I8">
        <v>10</v>
      </c>
      <c r="J8" cm="1">
        <f t="array" ref="J8:M8">_xlfn.XLOOKUP(H8&amp;"*",$B$5:$B$9,$A$5:$D$9,"-",2)</f>
        <v>10</v>
      </c>
      <c r="K8" t="str">
        <v>P1002 sales</v>
      </c>
      <c r="L8" t="str">
        <v>Pen doms</v>
      </c>
      <c r="M8" t="str">
        <v>Stationery</v>
      </c>
    </row>
    <row r="9" spans="1:13" x14ac:dyDescent="0.35">
      <c r="A9">
        <v>499</v>
      </c>
      <c r="B9" t="s">
        <v>14</v>
      </c>
      <c r="C9" t="s">
        <v>15</v>
      </c>
      <c r="D9" t="s">
        <v>10</v>
      </c>
      <c r="E9" s="1"/>
      <c r="F9" s="1"/>
      <c r="G9" t="s">
        <v>22</v>
      </c>
      <c r="H9" t="s">
        <v>23</v>
      </c>
      <c r="I9">
        <v>1</v>
      </c>
      <c r="J9" t="str" cm="1">
        <f t="array" ref="J9">_xlfn.XLOOKUP(H9&amp;"*",$B$5:$B$9,$A$5:$D$9,"-",2)</f>
        <v>-</v>
      </c>
    </row>
    <row r="10" spans="1:13" x14ac:dyDescent="0.35">
      <c r="E10" s="1"/>
      <c r="F10" s="1"/>
    </row>
    <row r="11" spans="1:13" x14ac:dyDescent="0.35">
      <c r="E11" s="1"/>
      <c r="F11" s="1"/>
    </row>
    <row r="12" spans="1:13" x14ac:dyDescent="0.35">
      <c r="E12" s="1"/>
      <c r="F12" s="1"/>
    </row>
    <row r="13" spans="1:13" x14ac:dyDescent="0.35">
      <c r="E13" s="1"/>
      <c r="F13" s="1"/>
      <c r="K13" t="s">
        <v>26</v>
      </c>
    </row>
    <row r="14" spans="1:13" x14ac:dyDescent="0.35">
      <c r="E14" s="1"/>
      <c r="F14" s="1"/>
    </row>
    <row r="15" spans="1:13" x14ac:dyDescent="0.35">
      <c r="E15" s="1"/>
      <c r="F15" s="1"/>
    </row>
    <row r="16" spans="1:13" x14ac:dyDescent="0.35">
      <c r="E16" s="1"/>
      <c r="F16" s="1"/>
    </row>
    <row r="17" spans="5:6" x14ac:dyDescent="0.35">
      <c r="E17" s="1"/>
      <c r="F17" s="1"/>
    </row>
    <row r="18" spans="5:6" x14ac:dyDescent="0.35">
      <c r="E18" s="1"/>
      <c r="F18" s="1"/>
    </row>
    <row r="19" spans="5:6" x14ac:dyDescent="0.35">
      <c r="E19" s="1"/>
      <c r="F19" s="1"/>
    </row>
    <row r="20" spans="5:6" x14ac:dyDescent="0.35">
      <c r="E20" s="1"/>
      <c r="F20" s="1"/>
    </row>
    <row r="21" spans="5:6" x14ac:dyDescent="0.35">
      <c r="E21" s="1"/>
      <c r="F21" s="1"/>
    </row>
    <row r="22" spans="5:6" x14ac:dyDescent="0.35">
      <c r="E22" s="1"/>
      <c r="F22" s="1"/>
    </row>
    <row r="23" spans="5:6" x14ac:dyDescent="0.35">
      <c r="E23" s="1"/>
      <c r="F23" s="1"/>
    </row>
    <row r="24" spans="5:6" x14ac:dyDescent="0.35">
      <c r="E24" s="1"/>
      <c r="F24" s="1"/>
    </row>
    <row r="25" spans="5:6" x14ac:dyDescent="0.35">
      <c r="E25" s="1"/>
      <c r="F25" s="1"/>
    </row>
    <row r="26" spans="5:6" x14ac:dyDescent="0.35">
      <c r="E26" s="1"/>
      <c r="F26" s="1"/>
    </row>
    <row r="27" spans="5:6" x14ac:dyDescent="0.35">
      <c r="E27" s="1"/>
      <c r="F27" s="1"/>
    </row>
    <row r="28" spans="5:6" x14ac:dyDescent="0.35">
      <c r="E28" s="1"/>
      <c r="F28" s="1"/>
    </row>
  </sheetData>
  <mergeCells count="1">
    <mergeCell ref="C2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9E2-203C-40E8-9A84-B82189497984}">
  <dimension ref="A1:W507"/>
  <sheetViews>
    <sheetView topLeftCell="A124" workbookViewId="0">
      <selection sqref="A1:W507"/>
    </sheetView>
  </sheetViews>
  <sheetFormatPr defaultRowHeight="14.5" x14ac:dyDescent="0.35"/>
  <sheetData>
    <row r="1" spans="1:23" ht="14.5" customHeight="1" x14ac:dyDescent="0.35">
      <c r="A1" s="5" t="s">
        <v>28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14.5" customHeigh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4.5" customHeight="1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4.5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14.5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4.5" customHeight="1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4.5" customHeight="1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4.5" customHeight="1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4.5" customHeight="1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4.5" customHeight="1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4.5" customHeight="1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t="14.5" customHeight="1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t="14.5" customHeight="1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ht="14.5" customHeight="1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14.5" customHeight="1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14.5" customHeight="1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14.5" customHeight="1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14.5" customHeight="1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14.5" customHeight="1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14.5" customHeight="1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14.5" customHeight="1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4.5" customHeight="1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4.5" customHeight="1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4.5" customHeight="1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4.5" customHeight="1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14.5" customHeight="1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4.5" customHeight="1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14.5" customHeight="1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14.5" customHeight="1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4.5" customHeight="1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4.5" customHeight="1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14.5" customHeight="1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ht="14.5" customHeight="1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ht="14.5" customHeight="1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4.5" customHeight="1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14.5" customHeight="1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ht="14.5" customHeight="1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14.5" customHeight="1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ht="14.5" customHeight="1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4.5" customHeight="1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ht="14.5" customHeight="1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14.5" customHeight="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14.5" customHeight="1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14.5" customHeight="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ht="14.5" customHeight="1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ht="14.5" customHeight="1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14.5" customHeight="1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14.5" customHeight="1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4.5" customHeight="1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spans="1:2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spans="1:2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spans="1:2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spans="1:2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spans="1:2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spans="1:2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spans="1:2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spans="1:2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spans="1:2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spans="1:2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spans="1:2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spans="1:2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spans="1:2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spans="1:2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spans="1:2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spans="1:2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spans="1:2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spans="1:2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spans="1:2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spans="1:2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spans="1:2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spans="1:2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spans="1:2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spans="1:2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spans="1:2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spans="1:2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spans="1:2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spans="1:2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spans="1:2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spans="1:2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spans="1:2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spans="1:2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spans="1:2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spans="1:2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spans="1:2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spans="1:2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spans="1:2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spans="1:2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spans="1:2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spans="1:2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spans="1:2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spans="1:2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spans="1:2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spans="1:2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spans="1:2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spans="1:2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spans="1:2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spans="1:2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spans="1:2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spans="1:2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spans="1:2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spans="1:2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spans="1:2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spans="1:2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spans="1:2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spans="1:2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spans="1:2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spans="1:2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spans="1:2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spans="1:2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spans="1:2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spans="1:2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spans="1:2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spans="1:2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spans="1:2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spans="1:2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spans="1:2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spans="1:2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spans="1:2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spans="1:2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spans="1:2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spans="1:2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spans="1:2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spans="1:2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spans="1:2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spans="1:2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spans="1:2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spans="1:2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spans="1:2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spans="1:2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spans="1:2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spans="1:2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spans="1:2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spans="1:2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spans="1:2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spans="1:2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spans="1:2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spans="1:2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spans="1:2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spans="1:2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spans="1:2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spans="1:2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spans="1:2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spans="1:2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spans="1:2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spans="1:2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spans="1:2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spans="1:2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spans="1:2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spans="1:2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spans="1:2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spans="1:2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spans="1:2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spans="1:2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spans="1:2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spans="1:2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spans="1:2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spans="1:2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spans="1:2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spans="1:2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spans="1:2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spans="1:2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spans="1:2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spans="1:2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spans="1:2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spans="1:2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spans="1:2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spans="1:2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spans="1:2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spans="1:2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spans="1:2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spans="1:2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spans="1:2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spans="1:2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spans="1:2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spans="1:2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spans="1:2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spans="1:2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spans="1:2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spans="1:2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spans="1:2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spans="1:2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spans="1:2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spans="1:2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spans="1:2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spans="1:2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spans="1:2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spans="1:2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spans="1:2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spans="1:2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spans="1:2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spans="1:2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spans="1:2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spans="1:2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spans="1:2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spans="1:2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spans="1:2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spans="1:2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spans="1:2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spans="1:2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spans="1:2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spans="1:2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spans="1:2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spans="1:2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spans="1:2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spans="1:2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spans="1:2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spans="1:2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spans="1:2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spans="1:2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spans="1:2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spans="1:2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spans="1:2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spans="1:2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spans="1:2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spans="1:2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spans="1:2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spans="1:2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spans="1:2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spans="1:2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spans="1:2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spans="1:2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spans="1:2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spans="1:2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spans="1:2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spans="1:2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spans="1:2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spans="1:2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spans="1:2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spans="1:2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spans="1:2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spans="1:2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spans="1:2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spans="1:2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spans="1:2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spans="1:2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spans="1:2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spans="1:2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spans="1:2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spans="1:2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spans="1:2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spans="1:2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spans="1:2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spans="1:2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spans="1:23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spans="1:23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spans="1:23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spans="1:23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spans="1:23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spans="1:23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spans="1:23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spans="1:23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spans="1:23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spans="1:23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spans="1:23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spans="1:23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spans="1:23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spans="1:23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spans="1:23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spans="1:23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spans="1:23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spans="1:23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spans="1:23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spans="1:23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spans="1:23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spans="1:23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spans="1:23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spans="1:23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spans="1:23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spans="1:23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spans="1:23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spans="1:23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spans="1:23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spans="1:23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spans="1:23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spans="1:23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spans="1:23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spans="1:23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spans="1:23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spans="1:23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spans="1:23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spans="1:23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spans="1:23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spans="1:23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spans="1:23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spans="1:23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spans="1:23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spans="1:23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spans="1:23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spans="1:23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spans="1:23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spans="1:23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spans="1:23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spans="1:23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spans="1:23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spans="1:23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spans="1:23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spans="1:23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spans="1:23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spans="1:23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spans="1:23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spans="1:23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spans="1:23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spans="1:23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spans="1:23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spans="1:23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spans="1:23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spans="1:23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spans="1:23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spans="1:23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spans="1:23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spans="1:23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spans="1:23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spans="1:23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spans="1:23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spans="1:23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spans="1:23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spans="1:23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spans="1:23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spans="1:23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spans="1:23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spans="1:23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spans="1:23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spans="1:23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spans="1:23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spans="1:23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</sheetData>
  <mergeCells count="1">
    <mergeCell ref="A1:W5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S</dc:creator>
  <cp:lastModifiedBy>patil</cp:lastModifiedBy>
  <dcterms:created xsi:type="dcterms:W3CDTF">2015-06-05T18:17:20Z</dcterms:created>
  <dcterms:modified xsi:type="dcterms:W3CDTF">2026-02-20T13:12:30Z</dcterms:modified>
</cp:coreProperties>
</file>