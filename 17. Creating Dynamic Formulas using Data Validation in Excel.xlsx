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5DD0F80D-EBBB-49F5-81FE-A92B8A9D06F4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" l="1"/>
  <c r="T21" i="1"/>
  <c r="T22" i="1"/>
  <c r="T23" i="1"/>
  <c r="T24" i="1"/>
  <c r="T25" i="1"/>
</calcChain>
</file>

<file path=xl/sharedStrings.xml><?xml version="1.0" encoding="utf-8"?>
<sst xmlns="http://schemas.openxmlformats.org/spreadsheetml/2006/main" count="18055" uniqueCount="3616">
  <si>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</si>
  <si>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</si>
  <si>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</si>
  <si>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</si>
  <si>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</si>
  <si>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</si>
  <si>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</si>
  <si>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</si>
  <si>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</si>
  <si>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</si>
  <si>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</si>
  <si>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</si>
  <si>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</si>
  <si>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</si>
  <si>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</si>
  <si>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</si>
  <si>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</si>
  <si>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</si>
  <si>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</si>
  <si>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</si>
  <si>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</si>
  <si>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</si>
  <si>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</si>
  <si>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</si>
  <si>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</si>
  <si>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</si>
  <si>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</si>
  <si>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</si>
  <si>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</si>
  <si>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</si>
  <si>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</si>
  <si>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</si>
  <si>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</si>
  <si>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</si>
  <si>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</si>
  <si>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</si>
  <si>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</si>
  <si>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</si>
  <si>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</si>
  <si>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</si>
  <si>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</si>
  <si>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</si>
  <si>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</si>
  <si>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</si>
  <si>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</si>
  <si>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</si>
  <si>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</si>
  <si>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</si>
  <si>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</si>
  <si>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</si>
  <si>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</si>
  <si>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</si>
  <si>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</si>
  <si>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</si>
  <si>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</si>
  <si>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</si>
  <si>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</si>
  <si>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</si>
  <si>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</si>
  <si>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</si>
  <si>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</si>
  <si>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</si>
  <si>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</si>
  <si>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</si>
  <si>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</si>
  <si>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</si>
  <si>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</si>
  <si>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</si>
  <si>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</si>
  <si>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</si>
  <si>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</si>
  <si>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</si>
  <si>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</si>
  <si>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</si>
  <si>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</si>
  <si>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</si>
  <si>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</si>
  <si>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</si>
  <si>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</si>
  <si>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</si>
  <si>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</si>
  <si>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</si>
  <si>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</si>
  <si>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</si>
  <si>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</si>
  <si>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</si>
  <si>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</si>
  <si>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</si>
  <si>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</si>
  <si>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</si>
  <si>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</si>
  <si>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</si>
  <si>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</si>
  <si>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</si>
  <si>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</si>
  <si>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</si>
  <si>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</si>
  <si>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</si>
  <si>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</si>
  <si>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</si>
  <si>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</si>
  <si>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</si>
  <si>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</si>
  <si>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</si>
  <si>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</si>
  <si>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</si>
  <si>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</si>
  <si>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</si>
  <si>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</si>
  <si>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</si>
  <si>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</si>
  <si>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</si>
  <si>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</si>
  <si>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</si>
  <si>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</si>
  <si>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</si>
  <si>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</si>
  <si>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</si>
  <si>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</si>
  <si>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</si>
  <si>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</si>
  <si>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</si>
  <si>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</si>
  <si>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</si>
  <si>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</si>
  <si>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</si>
  <si>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</si>
  <si>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</si>
  <si>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</si>
  <si>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</si>
  <si>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</si>
  <si>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</si>
  <si>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</si>
  <si>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</si>
  <si>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</si>
  <si>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</si>
  <si>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</si>
  <si>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</si>
  <si>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</si>
  <si>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</si>
  <si>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</si>
  <si>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</si>
  <si>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</si>
  <si>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</si>
  <si>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</si>
  <si>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</si>
  <si>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</si>
  <si>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</si>
  <si>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</si>
  <si>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</si>
  <si>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</si>
  <si>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</si>
  <si>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</si>
  <si>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</si>
  <si>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</si>
  <si>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</si>
  <si>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</si>
  <si>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</si>
  <si>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</si>
  <si>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</si>
  <si>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</si>
  <si>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</si>
  <si>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</si>
  <si>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</si>
  <si>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</si>
  <si>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</si>
  <si>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</si>
  <si>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</si>
  <si>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</si>
  <si>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</si>
  <si>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</si>
  <si>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</si>
  <si>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</si>
  <si>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</si>
  <si>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</si>
  <si>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</si>
  <si>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</si>
  <si>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</si>
  <si>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</si>
  <si>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</si>
  <si>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</si>
  <si>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</si>
  <si>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</si>
  <si>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</si>
  <si>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</si>
  <si>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</si>
  <si>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</si>
  <si>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</si>
  <si>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</si>
  <si>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</si>
  <si>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</si>
  <si>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</si>
  <si>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</si>
  <si>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</si>
  <si>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</si>
  <si>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</si>
  <si>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</si>
  <si>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</si>
  <si>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</si>
  <si>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</si>
  <si>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</si>
  <si>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</si>
  <si>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</si>
  <si>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</si>
  <si>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</si>
  <si>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</si>
  <si>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</si>
  <si>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</si>
  <si>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</si>
  <si>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</si>
  <si>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</si>
  <si>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</si>
  <si>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</si>
  <si>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</si>
  <si>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</si>
  <si>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</si>
  <si>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</si>
  <si>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</si>
  <si>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</si>
  <si>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</si>
  <si>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</si>
  <si>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</si>
  <si>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</si>
  <si>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</si>
  <si>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</si>
  <si>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</si>
  <si>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</si>
  <si>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</si>
  <si>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</si>
  <si>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</si>
  <si>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</si>
  <si>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</si>
  <si>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</si>
  <si>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</si>
  <si>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</si>
  <si>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</si>
  <si>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</si>
  <si>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</si>
  <si>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</si>
  <si>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</si>
  <si>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</si>
  <si>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</si>
  <si>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</si>
  <si>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</si>
  <si>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</si>
  <si>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</si>
  <si>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</si>
  <si>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</si>
  <si>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</si>
  <si>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</si>
  <si>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</si>
  <si>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</si>
  <si>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</si>
  <si>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</si>
  <si>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</si>
  <si>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</si>
  <si>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</si>
  <si>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</si>
  <si>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</si>
  <si>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</si>
  <si>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</si>
  <si>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</si>
  <si>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</si>
  <si>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</si>
  <si>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</si>
  <si>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</si>
  <si>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</si>
  <si>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</si>
  <si>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</si>
  <si>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</si>
  <si>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</si>
  <si>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</si>
  <si>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</si>
  <si>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</si>
  <si>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</si>
  <si>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</si>
  <si>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</si>
  <si>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</si>
  <si>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</si>
  <si>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</si>
  <si>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</si>
  <si>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</si>
  <si>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</si>
  <si>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</si>
  <si>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</si>
  <si>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</si>
  <si>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</si>
  <si>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</si>
  <si>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</si>
  <si>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</si>
  <si>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</si>
  <si>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</si>
  <si>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</si>
  <si>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</si>
  <si>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</si>
  <si>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</si>
  <si>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</si>
  <si>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</si>
  <si>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</si>
  <si>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</si>
  <si>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</si>
  <si>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</si>
  <si>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</si>
  <si>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</si>
  <si>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</si>
  <si>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</si>
  <si>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</si>
  <si>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</si>
  <si>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</si>
  <si>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</si>
  <si>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</si>
  <si>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</si>
  <si>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</si>
  <si>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</si>
  <si>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</si>
  <si>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</si>
  <si>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</si>
  <si>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</si>
  <si>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</si>
  <si>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</si>
  <si>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</si>
  <si>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</si>
  <si>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</si>
  <si>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</si>
  <si>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</si>
  <si>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</si>
  <si>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</si>
  <si>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</si>
  <si>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</si>
  <si>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</si>
  <si>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</si>
  <si>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</si>
  <si>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</si>
  <si>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</si>
  <si>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</si>
  <si>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</si>
  <si>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</si>
  <si>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</si>
  <si>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</si>
  <si>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</si>
  <si>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</si>
  <si>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</si>
  <si>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</si>
  <si>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</si>
  <si>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</si>
  <si>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</si>
  <si>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</si>
  <si>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</si>
  <si>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</si>
  <si>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</si>
  <si>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</si>
  <si>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</si>
  <si>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</si>
  <si>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</si>
  <si>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</si>
  <si>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</si>
  <si>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</si>
  <si>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</si>
  <si>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</si>
  <si>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</si>
  <si>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</si>
  <si>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</si>
  <si>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</si>
  <si>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</si>
  <si>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</si>
  <si>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</si>
  <si>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</si>
  <si>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</si>
  <si>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</si>
  <si>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</si>
  <si>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</si>
  <si>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</si>
  <si>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</si>
  <si>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</si>
  <si>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</si>
  <si>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</si>
  <si>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</si>
  <si>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</si>
  <si>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</si>
  <si>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</si>
  <si>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</si>
  <si>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</si>
  <si>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</si>
  <si>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</si>
  <si>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</si>
  <si>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</si>
  <si>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</si>
  <si>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</si>
  <si>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</si>
  <si>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</si>
  <si>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</si>
  <si>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</si>
  <si>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</si>
  <si>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</si>
  <si>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</si>
  <si>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</si>
  <si>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</si>
  <si>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</si>
  <si>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</si>
  <si>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</si>
  <si>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</si>
  <si>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</si>
  <si>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</si>
  <si>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</si>
  <si>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</si>
  <si>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</si>
  <si>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</si>
  <si>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</si>
  <si>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</si>
  <si>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</si>
  <si>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</si>
  <si>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</si>
  <si>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</si>
  <si>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</si>
  <si>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</si>
  <si>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</si>
  <si>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</si>
  <si>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</si>
  <si>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</si>
  <si>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</si>
  <si>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</si>
  <si>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</si>
  <si>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</si>
  <si>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</si>
  <si>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</si>
  <si>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</si>
  <si>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</si>
  <si>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</si>
  <si>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</si>
  <si>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</si>
  <si>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</si>
  <si>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</si>
  <si>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</si>
  <si>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</si>
  <si>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</si>
  <si>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</si>
  <si>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</si>
  <si>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</si>
  <si>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</si>
  <si>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</si>
  <si>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</si>
  <si>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</si>
  <si>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</si>
  <si>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</si>
  <si>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</si>
  <si>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</si>
  <si>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</si>
  <si>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</si>
  <si>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</si>
  <si>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</si>
  <si>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</si>
  <si>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</si>
  <si>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</si>
  <si>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</si>
  <si>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</si>
  <si>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</si>
  <si>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</si>
  <si>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</si>
  <si>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</si>
  <si>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</si>
  <si>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</si>
  <si>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</si>
  <si>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</si>
  <si>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</si>
  <si>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</si>
  <si>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</si>
  <si>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</si>
  <si>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</si>
  <si>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</si>
  <si>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</si>
  <si>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</si>
  <si>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</si>
  <si>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</si>
  <si>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</si>
  <si>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</si>
  <si>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</si>
  <si>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</si>
  <si>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</si>
  <si>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</si>
  <si>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</si>
  <si>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</si>
  <si>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</si>
  <si>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</si>
  <si>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</si>
  <si>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</si>
  <si>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</si>
  <si>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</si>
  <si>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</si>
  <si>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</si>
  <si>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</si>
  <si>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</si>
  <si>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</si>
  <si>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</si>
  <si>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</si>
  <si>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</si>
  <si>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</si>
  <si>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</si>
  <si>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</si>
  <si>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</si>
  <si>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</si>
  <si>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</si>
  <si>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</si>
  <si>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</si>
  <si>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</si>
  <si>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</si>
  <si>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</si>
  <si>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</si>
  <si>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</si>
  <si>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</si>
  <si>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</si>
  <si>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</si>
  <si>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</si>
  <si>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</si>
  <si>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</si>
  <si>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</si>
  <si>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</si>
  <si>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</si>
  <si>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</si>
  <si>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</si>
  <si>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</si>
  <si>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</si>
  <si>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</si>
  <si>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</si>
  <si>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</si>
  <si>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</si>
  <si>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</si>
  <si>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</si>
  <si>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</si>
  <si>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</si>
  <si>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</si>
  <si>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</si>
  <si>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</si>
  <si>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</si>
  <si>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</si>
  <si>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</si>
  <si>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</si>
  <si>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</si>
  <si>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</si>
  <si>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</si>
  <si>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</si>
  <si>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</si>
  <si>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</si>
  <si>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</si>
  <si>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</si>
  <si>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</si>
  <si>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</si>
  <si>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</si>
  <si>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</si>
  <si>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</si>
  <si>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</si>
  <si>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</si>
  <si>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</si>
  <si>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</si>
  <si>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</si>
  <si>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</si>
  <si>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</si>
  <si>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</si>
  <si>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</si>
  <si>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</si>
  <si>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</si>
  <si>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</si>
  <si>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</si>
  <si>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</si>
  <si>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</si>
  <si>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</si>
  <si>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</si>
  <si>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</si>
  <si>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</si>
  <si>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</si>
  <si>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</si>
  <si>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</si>
  <si>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</si>
  <si>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</si>
  <si>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</si>
  <si>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</si>
  <si>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</si>
  <si>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</si>
  <si>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</si>
  <si>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</si>
  <si>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</si>
  <si>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</si>
  <si>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</si>
  <si>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</si>
  <si>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</si>
  <si>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</si>
  <si>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</si>
  <si>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</si>
  <si>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</si>
  <si>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</si>
  <si>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</si>
  <si>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</si>
  <si>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</si>
  <si>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</si>
  <si>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</si>
  <si>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</si>
  <si>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</si>
  <si>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</si>
  <si>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</si>
  <si>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</si>
  <si>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</si>
  <si>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</si>
  <si>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</si>
  <si>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</si>
  <si>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</si>
  <si>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</si>
  <si>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</si>
  <si>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</si>
  <si>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</si>
  <si>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</si>
  <si>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</si>
  <si>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</si>
  <si>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</si>
  <si>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</si>
  <si>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</si>
  <si>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</si>
  <si>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</si>
  <si>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</si>
  <si>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</si>
  <si>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</si>
  <si>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</si>
  <si>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</si>
  <si>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</si>
  <si>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</si>
  <si>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</si>
  <si>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</si>
  <si>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</si>
  <si>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</si>
  <si>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</si>
  <si>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</si>
  <si>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</si>
  <si>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</si>
  <si>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</si>
  <si>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</si>
  <si>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</si>
  <si>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</si>
  <si>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</si>
  <si>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</si>
  <si>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</si>
  <si>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</si>
  <si>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</si>
  <si>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</si>
  <si>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</si>
  <si>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</si>
  <si>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</si>
  <si>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</si>
  <si>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</si>
  <si>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</si>
  <si>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</si>
  <si>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</si>
  <si>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</si>
  <si>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</si>
  <si>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</si>
  <si>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</si>
  <si>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</si>
  <si>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</si>
  <si>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</si>
  <si>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</si>
  <si>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</si>
  <si>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</si>
  <si>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</si>
  <si>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</si>
  <si>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</si>
  <si>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</si>
  <si>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</si>
  <si>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</si>
  <si>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</si>
  <si>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</si>
  <si>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</si>
  <si>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</si>
  <si>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</si>
  <si>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</si>
  <si>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</si>
  <si>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</si>
  <si>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</si>
  <si>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</si>
  <si>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</si>
  <si>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</si>
  <si>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</si>
  <si>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</si>
  <si>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</si>
  <si>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</si>
  <si>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</si>
  <si>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</si>
  <si>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</si>
  <si>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</si>
  <si>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</si>
  <si>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</si>
  <si>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</si>
  <si>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</si>
  <si>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</si>
  <si>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</si>
  <si>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</si>
  <si>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</si>
  <si>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</si>
  <si>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</si>
  <si>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</si>
  <si>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</si>
  <si>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</si>
  <si>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</si>
  <si>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</si>
  <si>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</si>
  <si>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</si>
  <si>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</si>
  <si>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</si>
  <si>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</si>
  <si>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</si>
  <si>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</si>
  <si>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</si>
  <si>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</si>
  <si>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</si>
  <si>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</si>
  <si>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</si>
  <si>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</si>
  <si>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</si>
  <si>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</si>
  <si>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</si>
  <si>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</si>
  <si>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</si>
  <si>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</si>
  <si>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</si>
  <si>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</si>
  <si>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</si>
  <si>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</si>
  <si>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</si>
  <si>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</si>
  <si>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</si>
  <si>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</si>
  <si>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</si>
  <si>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</si>
  <si>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</si>
  <si>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</si>
  <si>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</si>
  <si>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</si>
  <si>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</si>
  <si>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</si>
  <si>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</si>
  <si>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</si>
  <si>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</si>
  <si>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</si>
  <si>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</si>
  <si>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</si>
  <si>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</si>
  <si>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</si>
  <si>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</si>
  <si>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</si>
  <si>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</si>
  <si>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</si>
  <si>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</si>
  <si>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</si>
  <si>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</si>
  <si>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</si>
  <si>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</si>
  <si>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</si>
  <si>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</si>
  <si>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</si>
  <si>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</si>
  <si>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</si>
  <si>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</si>
  <si>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</si>
  <si>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</si>
  <si>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</si>
  <si>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</si>
  <si>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</si>
  <si>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</si>
  <si>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</si>
  <si>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</si>
  <si>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</si>
  <si>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</si>
  <si>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</si>
  <si>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</si>
  <si>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</si>
  <si>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</si>
  <si>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</si>
  <si>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</si>
  <si>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</si>
  <si>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</si>
  <si>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</si>
  <si>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</si>
  <si>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</si>
  <si>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</si>
  <si>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</si>
  <si>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</si>
  <si>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</si>
  <si>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</si>
  <si>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</si>
  <si>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</si>
  <si>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</si>
  <si>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</si>
  <si>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</si>
  <si>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</si>
  <si>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</si>
  <si>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</si>
  <si>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</si>
  <si>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</si>
  <si>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</si>
  <si>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</si>
  <si>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</si>
  <si>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</si>
  <si>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</si>
  <si>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</si>
  <si>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</si>
  <si>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</si>
  <si>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</si>
  <si>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</si>
  <si>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</si>
  <si>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</si>
  <si>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</si>
  <si>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</si>
  <si>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</si>
  <si>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</si>
  <si>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</si>
  <si>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</si>
  <si>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</si>
  <si>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</si>
  <si>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</si>
  <si>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</si>
  <si>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</si>
  <si>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</si>
  <si>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</si>
  <si>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</si>
  <si>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</si>
  <si>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</si>
  <si>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</si>
  <si>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</si>
  <si>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</si>
  <si>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</si>
  <si>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</si>
  <si>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</si>
  <si>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</si>
  <si>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</si>
  <si>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</si>
  <si>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</si>
  <si>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</si>
  <si>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</si>
  <si>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</si>
  <si>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</si>
  <si>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</si>
  <si>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</si>
  <si>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</si>
  <si>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</si>
  <si>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</si>
  <si>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</si>
  <si>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</si>
  <si>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</si>
  <si>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</si>
  <si>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</si>
  <si>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</si>
  <si>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</si>
  <si>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</si>
  <si>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</si>
  <si>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</si>
  <si>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</si>
  <si>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</si>
  <si>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</si>
  <si>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</si>
  <si>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</si>
  <si>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</si>
  <si>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</si>
  <si>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</si>
  <si>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</si>
  <si>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</si>
  <si>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</si>
  <si>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</si>
  <si>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</si>
  <si>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</si>
  <si>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</si>
  <si>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</si>
  <si>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</si>
  <si>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</si>
  <si>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</si>
  <si>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</si>
  <si>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</si>
  <si>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</si>
  <si>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</si>
  <si>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</si>
  <si>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</si>
  <si>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</si>
  <si>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</si>
  <si>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</si>
  <si>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</si>
  <si>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</si>
  <si>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</si>
  <si>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</si>
  <si>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</si>
  <si>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</si>
  <si>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</si>
  <si>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</si>
  <si>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</si>
  <si>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</si>
  <si>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</si>
  <si>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</si>
  <si>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</si>
  <si>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</si>
  <si>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</si>
  <si>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</si>
  <si>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</si>
  <si>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</si>
  <si>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</si>
  <si>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</si>
  <si>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</si>
  <si>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</si>
  <si>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</si>
  <si>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</si>
  <si>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</si>
  <si>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</si>
  <si>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</si>
  <si>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</si>
  <si>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</si>
  <si>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</si>
  <si>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</si>
  <si>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</si>
  <si>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</si>
  <si>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</si>
  <si>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</si>
  <si>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</si>
  <si>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</si>
  <si>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</si>
  <si>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</si>
  <si>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</si>
  <si>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</si>
  <si>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</si>
  <si>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</si>
  <si>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</si>
  <si>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</si>
  <si>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</si>
  <si>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</si>
  <si>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</si>
  <si>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</si>
  <si>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</si>
  <si>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</si>
  <si>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</si>
  <si>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</si>
  <si>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</si>
  <si>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</si>
  <si>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</si>
  <si>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</si>
  <si>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</si>
  <si>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</si>
  <si>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</si>
  <si>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</si>
  <si>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</si>
  <si>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</si>
  <si>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</si>
  <si>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</si>
  <si>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</si>
  <si>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</si>
  <si>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</si>
  <si>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</si>
  <si>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</si>
  <si>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</si>
  <si>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</si>
  <si>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</si>
  <si>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</si>
  <si>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</si>
  <si>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</si>
  <si>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</si>
  <si>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</si>
  <si>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</si>
  <si>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</si>
  <si>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</si>
  <si>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</si>
  <si>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</si>
  <si>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</si>
  <si>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</si>
  <si>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</si>
  <si>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</si>
  <si>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</si>
  <si>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</si>
  <si>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</si>
  <si>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</si>
  <si>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</si>
  <si>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</si>
  <si>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</si>
  <si>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</si>
  <si>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</si>
  <si>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</si>
  <si>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</si>
  <si>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</si>
  <si>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</si>
  <si>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</si>
  <si>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</si>
  <si>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</si>
  <si>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</si>
  <si>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</si>
  <si>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</si>
  <si>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</si>
  <si>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</si>
  <si>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</si>
  <si>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</si>
  <si>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</si>
  <si>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</si>
  <si>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</si>
  <si>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</si>
  <si>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</si>
  <si>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</si>
  <si>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</si>
  <si>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</si>
  <si>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</si>
  <si>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</si>
  <si>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</si>
  <si>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</si>
  <si>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</si>
  <si>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</si>
  <si>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</si>
  <si>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</si>
  <si>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</si>
  <si>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</si>
  <si>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</si>
  <si>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</si>
  <si>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</si>
  <si>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</si>
  <si>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</si>
  <si>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</si>
  <si>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</si>
  <si>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</si>
  <si>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</si>
  <si>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</si>
  <si>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</si>
  <si>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</si>
  <si>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</si>
  <si>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</si>
  <si>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</si>
  <si>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</si>
  <si>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</si>
  <si>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</si>
  <si>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</si>
  <si>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</si>
  <si>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</si>
  <si>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</si>
  <si>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</si>
  <si>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</si>
  <si>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</si>
  <si>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</si>
  <si>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</si>
  <si>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</si>
  <si>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</si>
  <si>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</si>
  <si>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</si>
  <si>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</si>
  <si>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</si>
  <si>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</si>
  <si>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</si>
  <si>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</si>
  <si>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</si>
  <si>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</si>
  <si>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</si>
  <si>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</si>
  <si>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</si>
  <si>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</si>
  <si>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</si>
  <si>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</si>
  <si>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</si>
  <si>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</si>
  <si>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</si>
  <si>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</si>
  <si>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</si>
  <si>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</si>
  <si>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</si>
  <si>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</si>
  <si>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</si>
  <si>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</si>
  <si>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</si>
  <si>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</si>
  <si>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</si>
  <si>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</si>
  <si>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</si>
  <si>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</si>
  <si>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</si>
  <si>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</si>
  <si>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</si>
  <si>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</si>
  <si>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</si>
  <si>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</si>
  <si>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</si>
  <si>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</si>
  <si>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</si>
  <si>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</si>
  <si>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</si>
  <si>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</si>
  <si>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</si>
  <si>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</si>
  <si>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</si>
  <si>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</si>
  <si>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</si>
  <si>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</si>
  <si>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</si>
  <si>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</si>
  <si>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</si>
  <si>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</si>
  <si>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</si>
  <si>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</si>
  <si>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</si>
  <si>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</si>
  <si>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</si>
  <si>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</si>
  <si>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</si>
  <si>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</si>
  <si>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</si>
  <si>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</si>
  <si>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</si>
  <si>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</si>
  <si>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</si>
  <si>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</si>
  <si>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</si>
  <si>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</si>
  <si>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</si>
  <si>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</si>
  <si>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</si>
  <si>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</si>
  <si>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</si>
  <si>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</si>
  <si>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</si>
  <si>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</si>
  <si>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</si>
  <si>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</si>
  <si>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</si>
  <si>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</si>
  <si>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</si>
  <si>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</si>
  <si>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</si>
  <si>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</si>
  <si>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</si>
  <si>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</si>
  <si>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</si>
  <si>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</si>
  <si>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</si>
  <si>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</si>
  <si>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</si>
  <si>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</si>
  <si>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</si>
  <si>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</si>
  <si>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</si>
  <si>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</si>
  <si>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</si>
  <si>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</si>
  <si>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</si>
  <si>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</si>
  <si>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</si>
  <si>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</si>
  <si>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</si>
  <si>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</si>
  <si>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</si>
  <si>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</si>
  <si>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</si>
  <si>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</si>
  <si>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</si>
  <si>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</si>
  <si>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</si>
  <si>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</si>
  <si>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</si>
  <si>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</si>
  <si>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</si>
  <si>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</si>
  <si>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</si>
  <si>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</si>
  <si>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</si>
  <si>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</si>
  <si>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</si>
  <si>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</si>
  <si>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</si>
  <si>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</si>
  <si>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</si>
  <si>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</si>
  <si>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</si>
  <si>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</si>
  <si>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</si>
  <si>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</si>
  <si>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</si>
  <si>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</si>
  <si>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</si>
  <si>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</si>
  <si>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</si>
  <si>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</si>
  <si>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</si>
  <si>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</si>
  <si>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</si>
  <si>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</si>
  <si>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</si>
  <si>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</si>
  <si>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</si>
  <si>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</si>
  <si>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</si>
  <si>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</si>
  <si>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</si>
  <si>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</si>
  <si>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</si>
  <si>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</si>
  <si>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</si>
  <si>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</si>
  <si>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</si>
  <si>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</si>
  <si>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</si>
  <si>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</si>
  <si>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</si>
  <si>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</si>
  <si>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</si>
  <si>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</si>
  <si>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</si>
  <si>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</si>
  <si>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</si>
  <si>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</si>
  <si>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</si>
  <si>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</si>
  <si>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</si>
  <si>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</si>
  <si>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</si>
  <si>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</si>
  <si>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</si>
  <si>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</si>
  <si>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</si>
  <si>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</si>
  <si>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</si>
  <si>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</si>
  <si>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</si>
  <si>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</si>
  <si>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</si>
  <si>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</si>
  <si>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</si>
  <si>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</si>
  <si>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</si>
  <si>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</si>
  <si>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</si>
  <si>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</si>
  <si>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</si>
  <si>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</si>
  <si>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</si>
  <si>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</si>
  <si>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</si>
  <si>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</si>
  <si>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</si>
  <si>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</si>
  <si>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</si>
  <si>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</si>
  <si>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</si>
  <si>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</si>
  <si>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</si>
  <si>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</si>
  <si>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</si>
  <si>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</si>
  <si>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</si>
  <si>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</si>
  <si>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</si>
  <si>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</si>
  <si>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</si>
  <si>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</si>
  <si>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</si>
  <si>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</si>
  <si>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</si>
  <si>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</si>
  <si>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</si>
  <si>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</si>
  <si>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</si>
  <si>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</si>
  <si>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</si>
  <si>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</si>
  <si>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</si>
  <si>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</si>
  <si>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</si>
  <si>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</si>
  <si>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</si>
  <si>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</si>
  <si>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</si>
  <si>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</si>
  <si>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</si>
  <si>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</si>
  <si>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</si>
  <si>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</si>
  <si>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</si>
  <si>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</si>
  <si>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</si>
  <si>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</si>
  <si>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</si>
  <si>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</si>
  <si>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</si>
  <si>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</si>
  <si>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</si>
  <si>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</si>
  <si>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</si>
  <si>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</si>
  <si>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</si>
  <si>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</si>
  <si>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</si>
  <si>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</si>
  <si>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</si>
  <si>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</si>
  <si>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</si>
  <si>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</si>
  <si>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</si>
  <si>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</si>
  <si>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</si>
  <si>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</si>
  <si>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</si>
  <si>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</si>
  <si>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</si>
  <si>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</si>
  <si>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</si>
  <si>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</si>
  <si>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</si>
  <si>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</si>
  <si>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</si>
  <si>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</si>
  <si>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</si>
  <si>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</si>
  <si>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</si>
  <si>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</si>
  <si>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</si>
  <si>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</si>
  <si>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</si>
  <si>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</si>
  <si>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</si>
  <si>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</si>
  <si>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</si>
  <si>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</si>
  <si>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</si>
  <si>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</si>
  <si>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</si>
  <si>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</si>
  <si>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</si>
  <si>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</si>
  <si>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</si>
  <si>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</si>
  <si>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</si>
  <si>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</si>
  <si>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</si>
  <si>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</si>
  <si>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</si>
  <si>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</si>
  <si>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</si>
  <si>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</si>
  <si>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</si>
  <si>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</si>
  <si>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</si>
  <si>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</si>
  <si>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</si>
  <si>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</si>
  <si>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</si>
  <si>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</si>
  <si>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</si>
  <si>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</si>
  <si>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</si>
  <si>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</si>
  <si>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</si>
  <si>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</si>
  <si>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</si>
  <si>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</si>
  <si>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</si>
  <si>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</si>
  <si>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</si>
  <si>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</si>
  <si>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</si>
  <si>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</si>
  <si>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</si>
  <si>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</si>
  <si>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</si>
  <si>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</si>
  <si>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</si>
  <si>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</si>
  <si>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</si>
  <si>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</si>
  <si>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</si>
  <si>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</si>
  <si>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</si>
  <si>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</si>
  <si>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</si>
  <si>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</si>
  <si>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</si>
  <si>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</si>
  <si>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</si>
  <si>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</si>
  <si>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</si>
  <si>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</si>
  <si>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</si>
  <si>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</si>
  <si>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</si>
  <si>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</si>
  <si>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</si>
  <si>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</si>
  <si>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</si>
  <si>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</si>
  <si>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</si>
  <si>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</si>
  <si>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</si>
  <si>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</si>
  <si>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</si>
  <si>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</si>
  <si>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</si>
  <si>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</si>
  <si>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</si>
  <si>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</si>
  <si>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</si>
  <si>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</si>
  <si>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</si>
  <si>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</si>
  <si>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</si>
  <si>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</si>
  <si>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</si>
  <si>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</si>
  <si>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</si>
  <si>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</si>
  <si>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</si>
  <si>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</si>
  <si>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</si>
  <si>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</si>
  <si>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</si>
  <si>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</si>
  <si>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</si>
  <si>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</si>
  <si>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</si>
  <si>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</si>
  <si>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</si>
  <si>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</si>
  <si>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</si>
  <si>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</si>
  <si>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</si>
  <si>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</si>
  <si>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</si>
  <si>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</si>
  <si>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</si>
  <si>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</si>
  <si>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</si>
  <si>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</si>
  <si>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</si>
  <si>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</si>
  <si>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</si>
  <si>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</si>
  <si>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</si>
  <si>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</si>
  <si>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</si>
  <si>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</si>
  <si>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</si>
  <si>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</si>
  <si>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</si>
  <si>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</si>
  <si>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</si>
  <si>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</si>
  <si>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</si>
  <si>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</si>
  <si>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</si>
  <si>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</si>
  <si>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</si>
  <si>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</si>
  <si>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</si>
  <si>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</si>
  <si>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</si>
  <si>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</si>
  <si>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</si>
  <si>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</si>
  <si>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</si>
  <si>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</si>
  <si>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</si>
  <si>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</si>
  <si>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</si>
  <si>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</si>
  <si>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</si>
  <si>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</si>
  <si>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</si>
  <si>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</si>
  <si>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</si>
  <si>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</si>
  <si>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</si>
  <si>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</si>
  <si>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</si>
  <si>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</si>
  <si>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</si>
  <si>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</si>
  <si>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</si>
  <si>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</si>
  <si>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</si>
  <si>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</si>
  <si>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</si>
  <si>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</si>
  <si>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</si>
  <si>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</si>
  <si>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</si>
  <si>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</si>
  <si>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</si>
  <si>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</si>
  <si>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</si>
  <si>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</si>
  <si>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</si>
  <si>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</si>
  <si>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</si>
  <si>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</si>
  <si>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</si>
  <si>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</si>
  <si>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</si>
  <si>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</si>
  <si>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</si>
  <si>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</si>
  <si>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</si>
  <si>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</si>
  <si>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</si>
  <si>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</si>
  <si>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</si>
  <si>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</si>
  <si>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</si>
  <si>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</si>
  <si>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</si>
  <si>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</si>
  <si>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</si>
  <si>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</si>
  <si>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</si>
  <si>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</si>
  <si>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</si>
  <si>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</si>
  <si>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</si>
  <si>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</si>
  <si>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</si>
  <si>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</si>
  <si>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</si>
  <si>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</si>
  <si>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</si>
  <si>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</si>
  <si>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</si>
  <si>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</si>
  <si>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</si>
  <si>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</si>
  <si>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</si>
  <si>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</si>
  <si>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</si>
  <si>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</si>
  <si>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</si>
  <si>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</si>
  <si>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</si>
  <si>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</si>
  <si>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</si>
  <si>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</si>
  <si>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</si>
  <si>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</si>
  <si>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</si>
  <si>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</si>
  <si>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</si>
  <si>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</si>
  <si>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</si>
  <si>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</si>
  <si>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</si>
  <si>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</si>
  <si>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</si>
  <si>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</si>
  <si>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</si>
  <si>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</si>
  <si>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</si>
  <si>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</si>
  <si>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</si>
  <si>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</si>
  <si>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</si>
  <si>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</si>
  <si>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</si>
  <si>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</si>
  <si>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</si>
  <si>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</si>
  <si>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</si>
  <si>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</si>
  <si>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</si>
  <si>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</si>
  <si>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</si>
  <si>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</si>
  <si>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</si>
  <si>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</si>
  <si>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</si>
  <si>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</si>
  <si>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</si>
  <si>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</si>
  <si>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</si>
  <si>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</si>
  <si>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</si>
  <si>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</si>
  <si>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</si>
  <si>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</si>
  <si>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</si>
  <si>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</si>
  <si>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</si>
  <si>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</si>
  <si>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</si>
  <si>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</si>
  <si>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</si>
  <si>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</si>
  <si>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</si>
  <si>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</si>
  <si>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</si>
  <si>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</si>
  <si>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</si>
  <si>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</si>
  <si>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</si>
  <si>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</si>
  <si>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</si>
  <si>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</si>
  <si>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</si>
  <si>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</si>
  <si>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</si>
  <si>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</si>
  <si>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</si>
  <si>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</si>
  <si>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</si>
  <si>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</si>
  <si>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</si>
  <si>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</si>
  <si>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</si>
  <si>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</si>
  <si>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</si>
  <si>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</si>
  <si>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</si>
  <si>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</si>
  <si>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</si>
  <si>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</si>
  <si>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</si>
  <si>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</si>
  <si>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</si>
  <si>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</si>
  <si>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</si>
  <si>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</si>
  <si>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</si>
  <si>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</si>
  <si>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</si>
  <si>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</si>
  <si>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</si>
  <si>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</si>
  <si>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</si>
  <si>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</si>
  <si>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</si>
  <si>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</si>
  <si>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</si>
  <si>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</si>
  <si>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</si>
  <si>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</si>
  <si>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</si>
  <si>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</si>
  <si>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</si>
  <si>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</si>
  <si>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</si>
  <si>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</si>
  <si>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</si>
  <si>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</si>
  <si>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</si>
  <si>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</si>
  <si>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</si>
  <si>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</si>
  <si>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</si>
  <si>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</si>
  <si>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</si>
  <si>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</si>
  <si>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</si>
  <si>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</si>
  <si>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</si>
  <si>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</si>
  <si>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</si>
  <si>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</si>
  <si>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</si>
  <si>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</si>
  <si>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</si>
  <si>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</si>
  <si>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</si>
  <si>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</si>
  <si>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</si>
  <si>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</si>
  <si>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</si>
  <si>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</si>
  <si>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</si>
  <si>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</si>
  <si>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</si>
  <si>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</si>
  <si>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</si>
  <si>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</si>
  <si>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</si>
  <si>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</si>
  <si>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</si>
  <si>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</si>
  <si>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</si>
  <si>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</si>
  <si>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</si>
  <si>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</si>
  <si>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</si>
  <si>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</si>
  <si>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</si>
  <si>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</si>
  <si>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</si>
  <si>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</si>
  <si>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</si>
  <si>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</si>
  <si>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</si>
  <si>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</si>
  <si>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</si>
  <si>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</si>
  <si>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</si>
  <si>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</si>
  <si>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</si>
  <si>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</si>
  <si>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</si>
  <si>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</si>
  <si>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</si>
  <si>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</si>
  <si>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</si>
  <si>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</si>
  <si>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</si>
  <si>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</si>
  <si>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</si>
  <si>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</si>
  <si>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</si>
  <si>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</si>
  <si>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</si>
  <si>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</si>
  <si>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</si>
  <si>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</si>
  <si>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</si>
  <si>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</si>
  <si>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</si>
  <si>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</si>
  <si>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</si>
  <si>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</si>
  <si>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</si>
  <si>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</si>
  <si>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</si>
  <si>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</si>
  <si>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</si>
  <si>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</si>
  <si>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</si>
  <si>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</si>
  <si>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</si>
  <si>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</si>
  <si>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</si>
  <si>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</si>
  <si>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</si>
  <si>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</si>
  <si>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</si>
  <si>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</si>
  <si>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</si>
  <si>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</si>
  <si>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</si>
  <si>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</si>
  <si>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</si>
  <si>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</si>
  <si>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</si>
  <si>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</si>
  <si>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</si>
  <si>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</si>
  <si>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</si>
  <si>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</si>
  <si>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</si>
  <si>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</si>
  <si>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</si>
  <si>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</si>
  <si>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</si>
  <si>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</si>
  <si>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</si>
  <si>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</si>
  <si>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</si>
  <si>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</si>
  <si>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</si>
  <si>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</si>
  <si>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</si>
  <si>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</si>
  <si>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</si>
  <si>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</si>
  <si>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</si>
  <si>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</si>
  <si>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</si>
  <si>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</si>
  <si>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</si>
  <si>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</si>
  <si>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</si>
  <si>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</si>
  <si>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</si>
  <si>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</si>
  <si>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</si>
  <si>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</si>
  <si>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</si>
  <si>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</si>
  <si>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</si>
  <si>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</si>
  <si>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</si>
  <si>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</si>
  <si>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</si>
  <si>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</si>
  <si>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</si>
  <si>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</si>
  <si>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</si>
  <si>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</si>
  <si>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</si>
  <si>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</si>
  <si>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</si>
  <si>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</si>
  <si>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</si>
  <si>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</si>
  <si>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</si>
  <si>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</si>
  <si>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</si>
  <si>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</si>
  <si>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</si>
  <si>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</si>
  <si>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</si>
  <si>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</si>
  <si>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</si>
  <si>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</si>
  <si>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</si>
  <si>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</si>
  <si>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</si>
  <si>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</si>
  <si>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</si>
  <si>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</si>
  <si>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</si>
  <si>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</si>
  <si>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</si>
  <si>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</si>
  <si>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</si>
  <si>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</si>
  <si>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</si>
  <si>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</si>
  <si>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</si>
  <si>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</si>
  <si>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</si>
  <si>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</si>
  <si>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</si>
  <si>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</si>
  <si>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</si>
  <si>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</si>
  <si>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</si>
  <si>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</si>
  <si>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</si>
  <si>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</si>
  <si>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</si>
  <si>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</si>
  <si>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</si>
  <si>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</si>
  <si>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</si>
  <si>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</si>
  <si>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</si>
  <si>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</si>
  <si>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</si>
  <si>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</si>
  <si>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</si>
  <si>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</si>
  <si>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</si>
  <si>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</si>
  <si>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</si>
  <si>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</si>
  <si>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</si>
  <si>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</si>
  <si>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</si>
  <si>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</si>
  <si>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</si>
  <si>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</si>
  <si>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</si>
  <si>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</si>
  <si>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</si>
  <si>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</si>
  <si>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</si>
  <si>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</si>
  <si>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</si>
  <si>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</si>
  <si>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</si>
  <si>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</si>
  <si>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</si>
  <si>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</si>
  <si>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</si>
  <si>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</si>
  <si>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</si>
  <si>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</si>
  <si>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</si>
  <si>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</si>
  <si>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</si>
  <si>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</si>
  <si>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</si>
  <si>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</si>
  <si>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</si>
  <si>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</si>
  <si>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</si>
  <si>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</si>
  <si>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</si>
  <si>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</si>
  <si>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</si>
  <si>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</si>
  <si>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</si>
  <si>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</si>
  <si>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</si>
  <si>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</si>
  <si>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</si>
  <si>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</si>
  <si>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</si>
  <si>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</si>
  <si>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</si>
  <si>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</si>
  <si>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</si>
  <si>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</si>
  <si>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</si>
  <si>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</si>
  <si>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</si>
  <si>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</si>
  <si>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</si>
  <si>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</si>
  <si>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</si>
  <si>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</si>
  <si>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</si>
  <si>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</si>
  <si>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</si>
  <si>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</si>
  <si>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</si>
  <si>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</si>
  <si>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</si>
  <si>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</si>
  <si>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</si>
  <si>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</si>
  <si>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</si>
  <si>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</si>
  <si>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</si>
  <si>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</si>
  <si>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</si>
  <si>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</si>
  <si>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</si>
  <si>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</si>
  <si>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</si>
  <si>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</si>
  <si>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</si>
  <si>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</si>
  <si>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</si>
  <si>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</si>
  <si>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</si>
  <si>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</si>
  <si>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</si>
  <si>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</si>
  <si>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</si>
  <si>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</si>
  <si>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</si>
  <si>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</si>
  <si>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</si>
  <si>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</si>
  <si>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</si>
  <si>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</si>
  <si>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</si>
  <si>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</si>
  <si>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</si>
  <si>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</si>
  <si>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</si>
  <si>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</si>
  <si>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</si>
  <si>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</si>
  <si>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</si>
  <si>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</si>
  <si>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</si>
  <si>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</si>
  <si>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</si>
  <si>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</si>
  <si>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</si>
  <si>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</si>
  <si>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</si>
  <si>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</si>
  <si>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</si>
  <si>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</si>
  <si>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</si>
  <si>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</si>
  <si>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</si>
  <si>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</si>
  <si>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</si>
  <si>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</si>
  <si>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</si>
  <si>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</si>
  <si>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</si>
  <si>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</si>
  <si>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</si>
  <si>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</si>
  <si>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</si>
  <si>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</si>
  <si>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</si>
  <si>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</si>
  <si>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</si>
  <si>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</si>
  <si>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</si>
  <si>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</si>
  <si>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</si>
  <si>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</si>
  <si>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</si>
  <si>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</si>
  <si>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</si>
  <si>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</si>
  <si>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</si>
  <si>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</si>
  <si>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</si>
  <si>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</si>
  <si>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</si>
  <si>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</si>
  <si>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</si>
  <si>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</si>
  <si>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</si>
  <si>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</si>
  <si>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</si>
  <si>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</si>
  <si>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</si>
  <si>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</si>
  <si>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</si>
  <si>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</si>
  <si>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</si>
  <si>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</si>
  <si>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</si>
  <si>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</si>
  <si>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</si>
  <si>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</si>
  <si>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</si>
  <si>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</si>
  <si>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</si>
  <si>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</si>
  <si>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</si>
  <si>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</si>
  <si>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</si>
  <si>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</si>
  <si>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</si>
  <si>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</si>
  <si>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</si>
  <si>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</si>
  <si>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</si>
  <si>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</si>
  <si>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</si>
  <si>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</si>
  <si>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</si>
  <si>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</si>
  <si>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</si>
  <si>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</si>
  <si>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</si>
  <si>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</si>
  <si>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</si>
  <si>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</si>
  <si>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</si>
  <si>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</si>
  <si>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</si>
  <si>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</si>
  <si>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</si>
  <si>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</si>
  <si>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</si>
  <si>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</si>
  <si>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</si>
  <si>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</si>
  <si>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</si>
  <si>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</si>
  <si>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</si>
  <si>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</si>
  <si>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</si>
  <si>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</si>
  <si>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</si>
  <si>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</si>
  <si>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</si>
  <si>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</si>
  <si>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</si>
  <si>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</si>
  <si>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</si>
  <si>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</si>
  <si>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</si>
  <si>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</si>
  <si>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</si>
  <si>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</si>
  <si>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</si>
  <si>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</si>
  <si>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</si>
  <si>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</si>
  <si>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</si>
  <si>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</si>
  <si>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</si>
  <si>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</si>
  <si>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</si>
  <si>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</si>
  <si>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</si>
  <si>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</si>
  <si>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</si>
  <si>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</si>
  <si>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</si>
  <si>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</si>
  <si>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</si>
  <si>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</si>
  <si>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</si>
  <si>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</si>
  <si>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</si>
  <si>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</si>
  <si>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</si>
  <si>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</si>
  <si>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</si>
  <si>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</si>
  <si>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</si>
  <si>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</si>
  <si>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</si>
  <si>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</si>
  <si>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</si>
  <si>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</si>
  <si>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</si>
  <si>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</si>
  <si>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</si>
  <si>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</si>
  <si>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</si>
  <si>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</si>
  <si>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</si>
  <si>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</si>
  <si>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</si>
  <si>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</si>
  <si>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</si>
  <si>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</si>
  <si>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</si>
  <si>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</si>
  <si>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</si>
  <si>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</si>
  <si>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</si>
  <si>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</si>
  <si>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</si>
  <si>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</si>
  <si>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</si>
  <si>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</si>
  <si>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</si>
  <si>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</si>
  <si>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</si>
  <si>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</si>
  <si>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</si>
  <si>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</si>
  <si>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</si>
  <si>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</si>
  <si>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</si>
  <si>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</si>
  <si>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</si>
  <si>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</si>
  <si>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</si>
  <si>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</si>
  <si>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</si>
  <si>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</si>
  <si>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</si>
  <si>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</si>
  <si>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</si>
  <si>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</si>
  <si>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</si>
  <si>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</si>
  <si>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</si>
  <si>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</si>
  <si>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</si>
  <si>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</si>
  <si>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</si>
  <si>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</si>
  <si>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</si>
  <si>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</si>
  <si>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</si>
  <si>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</si>
  <si>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</si>
  <si>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</si>
  <si>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</si>
  <si>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</si>
  <si>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</si>
  <si>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</si>
  <si>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</si>
  <si>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</si>
  <si>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</si>
  <si>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</si>
  <si>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</si>
  <si>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</si>
  <si>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</si>
  <si>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</si>
  <si>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</si>
  <si>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</si>
  <si>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</si>
  <si>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</si>
  <si>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</si>
  <si>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</si>
  <si>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</si>
  <si>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</si>
  <si>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</si>
  <si>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</si>
  <si>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</si>
  <si>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</si>
  <si>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</si>
  <si>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</si>
  <si>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</si>
  <si>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</si>
  <si>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</si>
  <si>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</si>
  <si>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</si>
  <si>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</si>
  <si>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</si>
  <si>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</si>
  <si>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</si>
  <si>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</si>
  <si>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</si>
  <si>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</si>
  <si>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</si>
  <si>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</si>
  <si>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</si>
  <si>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</si>
  <si>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</si>
  <si>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</si>
  <si>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</si>
  <si>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</si>
  <si>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</si>
  <si>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</si>
  <si>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</si>
  <si>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</si>
  <si>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</si>
  <si>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</si>
  <si>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</si>
  <si>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</si>
  <si>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</si>
  <si>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</si>
  <si>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</si>
  <si>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</si>
  <si>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</si>
  <si>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</si>
  <si>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</si>
  <si>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</si>
  <si>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</si>
  <si>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</si>
  <si>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</si>
  <si>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</si>
  <si>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</si>
  <si>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</si>
  <si>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</si>
  <si>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</si>
  <si>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</si>
  <si>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</si>
  <si>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</si>
  <si>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</si>
  <si>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</si>
  <si>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</si>
  <si>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</si>
  <si>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</si>
  <si>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</si>
  <si>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</si>
  <si>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</si>
  <si>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</si>
  <si>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</si>
  <si>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</si>
  <si>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</si>
  <si>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</si>
  <si>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</si>
  <si>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</si>
  <si>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</si>
  <si>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</si>
  <si>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</si>
  <si>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</si>
  <si>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</si>
  <si>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</si>
  <si>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</si>
  <si>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</si>
  <si>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</si>
  <si>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</si>
  <si>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</si>
  <si>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</si>
  <si>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</si>
  <si>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</si>
  <si>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</si>
  <si>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</si>
  <si>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</si>
  <si>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</si>
  <si>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</si>
  <si>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</si>
  <si>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</si>
  <si>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</si>
  <si>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</si>
  <si>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</si>
  <si>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</si>
  <si>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</si>
  <si>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</si>
  <si>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</si>
  <si>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</si>
  <si>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</si>
  <si>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</si>
  <si>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</si>
  <si>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</si>
  <si>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</si>
  <si>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</si>
  <si>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</si>
  <si>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</si>
  <si>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</si>
  <si>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</si>
  <si>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</si>
  <si>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</si>
  <si>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</si>
  <si>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</si>
  <si>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</si>
  <si>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</si>
  <si>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</si>
  <si>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</si>
  <si>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</si>
  <si>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</si>
  <si>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</si>
  <si>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</si>
  <si>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</si>
  <si>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</si>
  <si>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</si>
  <si>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</si>
  <si>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</si>
  <si>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</si>
  <si>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</si>
  <si>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</si>
  <si>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</si>
  <si>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</si>
  <si>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</si>
  <si>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</si>
  <si>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</si>
  <si>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</si>
  <si>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</si>
  <si>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</si>
  <si>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</si>
  <si>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</si>
  <si>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</si>
  <si>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</si>
  <si>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</si>
  <si>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</si>
  <si>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</si>
  <si>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</si>
  <si>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</si>
  <si>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</si>
  <si>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</si>
  <si>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</si>
  <si>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</si>
  <si>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</si>
  <si>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</si>
  <si>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</si>
  <si>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</si>
  <si>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</si>
  <si>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</si>
  <si>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</si>
  <si>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</si>
  <si>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</si>
  <si>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</si>
  <si>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</si>
  <si>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</si>
  <si>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</si>
  <si>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</si>
  <si>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</si>
  <si>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</si>
  <si>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</si>
  <si>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</si>
  <si>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</si>
  <si>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</si>
  <si>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</si>
  <si>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</si>
  <si>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</si>
  <si>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</si>
  <si>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</si>
  <si>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</si>
  <si>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</si>
  <si>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</si>
  <si>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</si>
  <si>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</si>
  <si>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</si>
  <si>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</si>
  <si>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</si>
  <si>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</si>
  <si>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</si>
  <si>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</si>
  <si>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</si>
  <si>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</si>
  <si>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</si>
  <si>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</si>
  <si>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</si>
  <si>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</si>
  <si>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</si>
  <si>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</si>
  <si>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</si>
  <si>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</si>
  <si>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</si>
  <si>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</si>
  <si>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</si>
  <si>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</si>
  <si>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</si>
  <si>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</si>
  <si>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</si>
  <si>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</si>
  <si>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</si>
  <si>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</si>
  <si>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</si>
  <si>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</si>
  <si>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</si>
  <si>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</si>
  <si>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</si>
  <si>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</si>
  <si>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</si>
  <si>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</si>
  <si>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</si>
  <si>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</si>
  <si>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</si>
  <si>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</si>
  <si>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</si>
  <si>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</si>
  <si>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</si>
  <si>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</si>
  <si>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</si>
  <si>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</si>
  <si>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</si>
  <si>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</si>
  <si>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</si>
  <si>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</si>
  <si>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</si>
  <si>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</si>
  <si>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</si>
  <si>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</si>
  <si>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</si>
  <si>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</si>
  <si>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</si>
  <si>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</si>
  <si>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</si>
  <si>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</si>
  <si>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</si>
  <si>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</si>
  <si>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</si>
  <si>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</si>
  <si>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</si>
  <si>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</si>
  <si>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</si>
  <si>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</si>
  <si>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</si>
  <si>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</si>
  <si>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</si>
  <si>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</si>
  <si>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</si>
  <si>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</si>
  <si>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</si>
  <si>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</si>
  <si>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</si>
  <si>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</si>
  <si>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</si>
  <si>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</si>
  <si>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</si>
  <si>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</si>
  <si>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</si>
  <si>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</si>
  <si>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</si>
  <si>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</si>
  <si>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</si>
  <si>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</si>
  <si>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</si>
  <si>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</si>
  <si>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</si>
  <si>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</si>
  <si>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</si>
  <si>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</si>
  <si>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</si>
  <si>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</si>
  <si>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</si>
  <si>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</si>
  <si>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</si>
  <si>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</si>
  <si>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</si>
  <si>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</si>
  <si>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</si>
  <si>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</si>
  <si>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</si>
  <si>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</si>
  <si>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</si>
  <si>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</si>
  <si>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</si>
  <si>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</si>
  <si>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</si>
  <si>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</si>
  <si>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</si>
  <si>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</si>
  <si>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</si>
  <si>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</si>
  <si>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</si>
  <si>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</si>
  <si>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</si>
  <si>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</si>
  <si>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</si>
  <si>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</si>
  <si>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</si>
  <si>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</si>
  <si>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</si>
  <si>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</si>
  <si>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</si>
  <si>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</si>
  <si>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</si>
  <si>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</si>
  <si>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</si>
  <si>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</si>
  <si>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</si>
  <si>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</si>
  <si>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</si>
  <si>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</si>
  <si>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</si>
  <si>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</si>
  <si>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</si>
  <si>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</si>
  <si>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</si>
  <si>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</si>
  <si>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</si>
  <si>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</si>
  <si>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</si>
  <si>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</si>
  <si>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</si>
  <si>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</si>
  <si>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</si>
  <si>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</si>
  <si>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</si>
  <si>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</si>
  <si>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</si>
  <si>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</si>
  <si>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</si>
  <si>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</si>
  <si>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</si>
  <si>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</si>
  <si>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</si>
  <si>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</si>
  <si>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</si>
  <si>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</si>
  <si>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</si>
  <si>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</si>
  <si>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</si>
  <si>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</si>
  <si>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</si>
  <si>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</si>
  <si>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</si>
  <si>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</si>
  <si>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</si>
  <si>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</si>
  <si>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</si>
  <si>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</si>
  <si>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</si>
  <si>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</si>
  <si>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</si>
  <si>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</si>
  <si>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</si>
  <si>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</si>
  <si>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</si>
  <si>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</si>
  <si>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</si>
  <si>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</si>
  <si>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</si>
  <si>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</si>
  <si>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</si>
  <si>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</si>
  <si>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</si>
  <si>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</si>
  <si>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</si>
  <si>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</si>
  <si>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</si>
  <si>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</si>
  <si>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</si>
  <si>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</si>
  <si>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</si>
  <si>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</si>
  <si>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</si>
  <si>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</si>
  <si>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</si>
  <si>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</si>
  <si>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</si>
  <si>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</si>
  <si>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</si>
  <si>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</si>
  <si>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</si>
  <si>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</si>
  <si>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</si>
  <si>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</si>
  <si>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</si>
  <si>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</si>
  <si>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</si>
  <si>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</si>
  <si>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</si>
  <si>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</si>
  <si>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</si>
  <si>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</si>
  <si>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</si>
  <si>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</si>
  <si>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</si>
  <si>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</si>
  <si>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</si>
  <si>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</si>
  <si>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</si>
  <si>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</si>
  <si>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</si>
  <si>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</si>
  <si>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</si>
  <si>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</si>
  <si>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</si>
  <si>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</si>
  <si>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</si>
  <si>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</si>
  <si>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</si>
  <si>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</si>
  <si>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</si>
  <si>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</si>
  <si>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</si>
  <si>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</si>
  <si>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</si>
  <si>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</si>
  <si>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</si>
  <si>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</si>
  <si>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</si>
  <si>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</si>
  <si>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</si>
  <si>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</si>
  <si>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</si>
  <si>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</si>
  <si>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</si>
  <si>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</si>
  <si>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</si>
  <si>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</si>
  <si>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</si>
  <si>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</si>
  <si>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</si>
  <si>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</si>
  <si>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</si>
  <si>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</si>
  <si>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</si>
  <si>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</si>
  <si>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</si>
  <si>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</si>
  <si>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</si>
  <si>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</si>
  <si>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</si>
  <si>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</si>
  <si>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</si>
  <si>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</si>
  <si>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</si>
  <si>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</si>
  <si>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</si>
  <si>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</si>
  <si>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</si>
  <si>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</si>
  <si>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</si>
  <si>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</si>
  <si>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</si>
  <si>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</si>
  <si>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</si>
  <si>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</si>
  <si>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</si>
  <si>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</si>
  <si>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</si>
  <si>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</si>
  <si>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</si>
  <si>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</si>
  <si>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</si>
  <si>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</si>
  <si>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</si>
  <si>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</si>
  <si>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</si>
  <si>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</si>
  <si>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</si>
  <si>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</si>
  <si>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</si>
  <si>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</si>
  <si>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</si>
  <si>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</si>
  <si>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</si>
  <si>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</si>
  <si>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</si>
  <si>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</si>
  <si>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</si>
  <si>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</si>
  <si>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</si>
  <si>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</si>
  <si>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</si>
  <si>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</si>
  <si>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</si>
  <si>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</si>
  <si>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</si>
  <si>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</si>
  <si>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</si>
  <si>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</si>
  <si>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</si>
  <si>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</si>
  <si>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</si>
  <si>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</si>
  <si>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</si>
  <si>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</si>
  <si>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</si>
  <si>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</si>
  <si>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</si>
  <si>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</si>
  <si>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</si>
  <si>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</si>
  <si>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</si>
  <si>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</si>
  <si>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</si>
  <si>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</si>
  <si>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</si>
  <si>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</si>
  <si>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</si>
  <si>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</si>
  <si>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</si>
  <si>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</si>
  <si>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</si>
  <si>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</si>
  <si>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</si>
  <si>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</si>
  <si>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</si>
  <si>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</si>
  <si>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</si>
  <si>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</si>
  <si>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</si>
  <si>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</si>
  <si>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</si>
  <si>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</si>
  <si>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</si>
  <si>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</si>
  <si>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</si>
  <si>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</si>
  <si>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</si>
  <si>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</si>
  <si>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</si>
  <si>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</si>
  <si>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</si>
  <si>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</si>
  <si>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</si>
  <si>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</si>
  <si>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</si>
  <si>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</si>
  <si>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</si>
  <si>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</si>
  <si>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</si>
  <si>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</si>
  <si>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</si>
  <si>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</si>
  <si>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</si>
  <si>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</si>
  <si>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</si>
  <si>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</si>
  <si>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</si>
  <si>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</si>
  <si>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</si>
  <si>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</si>
  <si>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</si>
  <si>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</si>
  <si>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</si>
  <si>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</si>
  <si>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</si>
  <si>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</si>
  <si>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</si>
  <si>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</si>
  <si>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</si>
  <si>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</si>
  <si>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</si>
  <si>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</si>
  <si>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</si>
  <si>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</si>
  <si>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</si>
  <si>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</si>
  <si>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</si>
  <si>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</si>
  <si>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</si>
  <si>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</si>
  <si>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</si>
  <si>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</si>
  <si>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</si>
  <si>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</si>
  <si>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</si>
  <si>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</si>
  <si>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</si>
  <si>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</si>
  <si>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</si>
  <si>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</si>
  <si>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</si>
  <si>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</si>
  <si>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</si>
  <si>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</si>
  <si>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</si>
  <si>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</si>
  <si>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</si>
  <si>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</si>
  <si>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</si>
  <si>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</si>
  <si>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</si>
  <si>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</si>
  <si>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</si>
  <si>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</si>
  <si>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</si>
  <si>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</si>
  <si>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</si>
  <si>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</si>
  <si>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</si>
  <si>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</si>
  <si>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</si>
  <si>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</si>
  <si>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</si>
  <si>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</si>
  <si>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</si>
  <si>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</si>
  <si>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</si>
  <si>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</si>
  <si>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</si>
  <si>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</si>
  <si>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</si>
  <si>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</si>
  <si>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</si>
  <si>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</si>
  <si>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</si>
  <si>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</si>
  <si>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</si>
  <si>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</si>
  <si>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</si>
  <si>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</si>
  <si>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</si>
  <si>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</si>
  <si>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</si>
  <si>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</si>
  <si>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</si>
  <si>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</si>
  <si>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</si>
  <si>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</si>
  <si>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</si>
  <si>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</si>
  <si>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</si>
  <si>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</si>
  <si>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</si>
  <si>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</si>
  <si>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</si>
  <si>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</si>
  <si>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</si>
  <si>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</si>
  <si>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</si>
  <si>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</si>
  <si>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</si>
  <si>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</si>
  <si>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</si>
  <si>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</si>
  <si>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</si>
  <si>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</si>
  <si>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</si>
  <si>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</si>
  <si>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</si>
  <si>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</si>
  <si>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</si>
  <si>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</si>
  <si>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</si>
  <si>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</si>
  <si>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</si>
  <si>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</si>
  <si>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</si>
  <si>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</si>
  <si>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</si>
  <si>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</si>
  <si>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</si>
  <si>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</si>
  <si>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</si>
  <si>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</si>
  <si>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</si>
  <si>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</si>
  <si>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</si>
  <si>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</si>
  <si>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</si>
  <si>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</si>
  <si>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</si>
  <si>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</si>
  <si>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</si>
  <si>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</si>
  <si>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</si>
  <si>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</si>
  <si>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</si>
  <si>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</si>
  <si>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</si>
  <si>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</si>
  <si>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</si>
  <si>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</si>
  <si>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</si>
  <si>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</si>
  <si>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</si>
  <si>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</si>
  <si>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</si>
  <si>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</si>
  <si>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</si>
  <si>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</si>
  <si>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</si>
  <si>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</si>
  <si>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</si>
  <si>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</si>
  <si>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</si>
  <si>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</si>
  <si>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</si>
  <si>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</si>
  <si>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</si>
  <si>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</si>
  <si>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</si>
  <si>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</si>
  <si>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</si>
  <si>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</si>
  <si>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</si>
  <si>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</si>
  <si>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</si>
  <si>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</si>
  <si>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</si>
  <si>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</si>
  <si>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</si>
  <si>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</si>
  <si>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</si>
  <si>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</si>
  <si>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</si>
  <si>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</si>
  <si>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</si>
  <si>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</si>
  <si>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</si>
  <si>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</si>
  <si>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</si>
  <si>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</si>
  <si>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</si>
  <si>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</si>
  <si>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</si>
  <si>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</si>
  <si>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</si>
  <si>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</si>
  <si>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</si>
  <si>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</si>
  <si>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</si>
  <si>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</si>
  <si>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</si>
  <si>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</si>
  <si>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</si>
  <si>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</si>
  <si>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</si>
  <si>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</si>
  <si>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</si>
  <si>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</si>
  <si>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</si>
  <si>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</si>
  <si>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</si>
  <si>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</si>
  <si>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</si>
  <si>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</si>
  <si>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</si>
  <si>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</si>
  <si>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</si>
  <si>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</si>
  <si>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</si>
  <si>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</si>
  <si>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</si>
  <si>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</si>
  <si>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</si>
  <si>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</si>
  <si>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</si>
  <si>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</si>
  <si>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</si>
  <si>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</si>
  <si>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</si>
  <si>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</si>
  <si>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</si>
  <si>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</si>
  <si>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</si>
  <si>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</si>
  <si>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</si>
  <si>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</si>
  <si>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</si>
  <si>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</si>
  <si>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</si>
  <si>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</si>
  <si>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</si>
  <si>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</si>
  <si>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</si>
  <si>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</si>
  <si>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</si>
  <si>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</si>
  <si>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</si>
  <si>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</si>
  <si>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</si>
  <si>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</si>
  <si>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</si>
  <si>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</si>
  <si>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</si>
  <si>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</si>
  <si>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</si>
  <si>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</si>
  <si>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</si>
  <si>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</si>
  <si>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</si>
  <si>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</si>
  <si>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</si>
  <si>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</si>
  <si>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</si>
  <si>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</si>
  <si>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</si>
  <si>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</si>
  <si>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</si>
  <si>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</si>
  <si>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</si>
  <si>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</si>
  <si>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</si>
  <si>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</si>
  <si>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</si>
  <si>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</si>
  <si>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</si>
  <si>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</si>
  <si>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</si>
  <si>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</si>
  <si>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</si>
  <si>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</si>
  <si>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</si>
  <si>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</si>
  <si>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</si>
  <si>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</si>
  <si>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</si>
  <si>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</si>
  <si>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</si>
  <si>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</si>
  <si>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</si>
  <si>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</si>
  <si>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</si>
  <si>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</si>
  <si>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</si>
  <si>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</si>
  <si>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</si>
  <si>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</si>
  <si>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</si>
  <si>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</si>
  <si>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</si>
  <si>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</si>
  <si>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</si>
  <si>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</si>
  <si>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</si>
  <si>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</si>
  <si>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</si>
  <si>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</si>
  <si>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</si>
  <si>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</si>
  <si>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</si>
  <si>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</si>
  <si>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</si>
  <si>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</si>
  <si>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</si>
  <si>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</si>
  <si>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</si>
  <si>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</si>
  <si>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</si>
  <si>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</si>
  <si>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</si>
  <si>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</si>
  <si>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</si>
  <si>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</si>
  <si>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</si>
  <si>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</si>
  <si>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</si>
  <si>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</si>
  <si>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</si>
  <si>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</si>
  <si>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</si>
  <si>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</si>
  <si>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</si>
  <si>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</si>
  <si>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</si>
  <si>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</si>
  <si>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</si>
  <si>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</si>
  <si>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</si>
  <si>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</si>
  <si>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</si>
  <si>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</si>
  <si>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</si>
  <si>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</si>
  <si>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</si>
  <si>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</si>
  <si>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</si>
  <si>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</si>
  <si>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</si>
  <si>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</si>
  <si>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</si>
  <si>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</si>
  <si>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</si>
  <si>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</si>
  <si>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</si>
  <si>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</si>
  <si>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</si>
  <si>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</si>
  <si>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</si>
  <si>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</si>
  <si>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</si>
  <si>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</si>
  <si>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</si>
  <si>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</si>
  <si>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</si>
  <si>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</si>
  <si>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</si>
  <si>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</si>
  <si>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</si>
  <si>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</si>
  <si>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</si>
  <si>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</si>
  <si>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</si>
  <si>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</si>
  <si>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</si>
  <si>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</si>
  <si>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</si>
  <si>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</si>
  <si>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</si>
  <si>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</si>
  <si>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</si>
  <si>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</si>
  <si>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</si>
  <si>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</si>
  <si>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</si>
  <si>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</si>
  <si>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</si>
  <si>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</si>
  <si>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</si>
  <si>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</si>
  <si>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</si>
  <si>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</si>
  <si>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</si>
  <si>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</si>
  <si>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</si>
  <si>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</si>
  <si>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</si>
  <si>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</si>
  <si>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</si>
  <si>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</si>
  <si>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</si>
  <si>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</si>
  <si>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</si>
  <si>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</si>
  <si>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</si>
  <si>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</si>
  <si>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</si>
  <si>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</si>
  <si>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</si>
  <si>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</si>
  <si>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</si>
  <si>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</si>
  <si>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</si>
  <si>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</si>
  <si>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</si>
  <si>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</si>
  <si>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</si>
  <si>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</si>
  <si>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</si>
  <si>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</si>
  <si>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</si>
  <si>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</si>
  <si>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</si>
  <si>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</si>
  <si>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</si>
  <si>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</si>
  <si>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</si>
  <si>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</si>
  <si>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</si>
  <si>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</si>
  <si>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</si>
  <si>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</si>
  <si>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</si>
  <si>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</si>
  <si>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</si>
  <si>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</si>
  <si>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</si>
  <si>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</si>
  <si>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</si>
  <si>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</si>
  <si>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</si>
  <si>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</si>
  <si>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</si>
  <si>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</si>
  <si>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</si>
  <si>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</si>
  <si>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</si>
  <si>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</si>
  <si>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</si>
  <si>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</si>
  <si>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</si>
  <si>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</si>
  <si>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</si>
  <si>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</si>
  <si>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</si>
  <si>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</si>
  <si>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</si>
  <si>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</si>
  <si>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</si>
  <si>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</si>
  <si>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</si>
  <si>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</si>
  <si>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</si>
  <si>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</si>
  <si>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</si>
  <si>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</si>
  <si>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</si>
  <si>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</si>
  <si>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</si>
  <si>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</si>
  <si>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</si>
  <si>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</si>
  <si>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</si>
  <si>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</si>
  <si>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</si>
  <si>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</si>
  <si>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</si>
  <si>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</si>
  <si>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</si>
  <si>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</si>
  <si>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</si>
  <si>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</si>
  <si>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</si>
  <si>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</si>
  <si>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</si>
  <si>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</si>
  <si>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</si>
  <si>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</si>
  <si>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</si>
  <si>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</si>
  <si>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</si>
  <si>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</si>
  <si>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</si>
  <si>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</si>
  <si>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</si>
  <si>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</si>
  <si>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</si>
  <si>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</si>
  <si>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</si>
  <si>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</si>
  <si>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</si>
  <si>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</si>
  <si>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</si>
  <si>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</si>
  <si>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</si>
  <si>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</si>
  <si>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</si>
  <si>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</si>
  <si>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</si>
  <si>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</si>
  <si>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</si>
  <si>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</si>
  <si>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</si>
  <si>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</si>
  <si>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</si>
  <si>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</si>
  <si>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</si>
  <si>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</si>
  <si>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</si>
  <si>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</si>
  <si>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</si>
  <si>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</si>
  <si>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</si>
  <si>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</si>
  <si>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</si>
  <si>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</si>
  <si>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</si>
  <si>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</si>
  <si>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</si>
  <si>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</si>
  <si>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</si>
  <si>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</si>
  <si>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</si>
  <si>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</si>
  <si>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</si>
  <si>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</si>
  <si>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</si>
  <si>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</si>
  <si>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</si>
  <si>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</si>
  <si>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</si>
  <si>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</si>
  <si>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</si>
  <si>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</si>
  <si>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</si>
  <si>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</si>
  <si>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</si>
  <si>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</si>
  <si>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</si>
  <si>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</si>
  <si>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</si>
  <si>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</si>
  <si>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</si>
  <si>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</si>
  <si>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</si>
  <si>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</si>
  <si>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</si>
  <si>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</si>
  <si>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</si>
  <si>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</si>
  <si>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</si>
  <si>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</si>
  <si>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</si>
  <si>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</si>
  <si>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</si>
  <si>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</si>
  <si>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</si>
  <si>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</si>
  <si>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</si>
  <si>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</si>
  <si>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</si>
  <si>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</si>
  <si>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</si>
  <si>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</si>
  <si>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</si>
  <si>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</si>
  <si>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</si>
  <si>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</si>
  <si>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</si>
  <si>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</si>
  <si>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</si>
  <si>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</si>
  <si>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</si>
  <si>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</si>
  <si>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</si>
  <si>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</si>
  <si>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</si>
  <si>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</si>
  <si>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</si>
  <si>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</si>
  <si>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</si>
  <si>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</si>
  <si>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</si>
  <si>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</si>
  <si>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</si>
  <si>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</si>
  <si>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</si>
  <si>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</si>
  <si>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</si>
  <si>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</si>
  <si>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</si>
  <si>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</si>
  <si>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</si>
  <si>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</si>
  <si>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</si>
  <si>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</si>
  <si>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</si>
  <si>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</si>
  <si>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</si>
  <si>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</si>
  <si>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</si>
  <si>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</si>
  <si>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</si>
  <si>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</si>
  <si>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</si>
  <si>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</si>
  <si>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</si>
  <si>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</si>
  <si>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</si>
  <si>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</si>
  <si>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</si>
  <si>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</si>
  <si>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</si>
  <si>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</si>
  <si>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</si>
  <si>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</si>
  <si>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</si>
  <si>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</si>
  <si>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</si>
  <si>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</si>
  <si>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</si>
  <si>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</si>
  <si>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</si>
  <si>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</si>
  <si>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</si>
  <si>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</si>
  <si>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</si>
  <si>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</si>
  <si>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</si>
  <si>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</si>
  <si>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</si>
  <si>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</si>
  <si>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</si>
  <si>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</si>
  <si>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</si>
  <si>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</si>
  <si>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</si>
  <si>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</si>
  <si>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</si>
  <si>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</si>
  <si>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</si>
  <si>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</si>
  <si>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</si>
  <si>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</si>
  <si>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</si>
  <si>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</si>
  <si>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</si>
  <si>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</si>
  <si>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</si>
  <si>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</si>
  <si>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</si>
  <si>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</si>
  <si>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</si>
  <si>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</si>
  <si>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</si>
  <si>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</si>
  <si>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</si>
  <si>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</si>
  <si>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</si>
  <si>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</si>
  <si>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</si>
  <si>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</si>
  <si>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</si>
  <si>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</si>
  <si>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</si>
  <si>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</si>
  <si>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</si>
  <si>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</si>
  <si>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</si>
  <si>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</si>
  <si>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</si>
  <si>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</si>
  <si>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</si>
  <si>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</si>
  <si>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</si>
  <si>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</si>
  <si>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</si>
  <si>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</si>
  <si>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</si>
  <si>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</si>
  <si>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</si>
  <si>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</si>
  <si>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</si>
  <si>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</si>
  <si>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</si>
  <si>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</si>
  <si>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</si>
  <si>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</si>
  <si>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</si>
  <si>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</si>
  <si>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</si>
  <si>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</si>
  <si>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</si>
  <si>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</si>
  <si>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</si>
  <si>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</si>
  <si>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</si>
  <si>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</si>
  <si>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</si>
  <si>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</si>
  <si>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</si>
  <si>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</si>
  <si>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</si>
  <si>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</si>
  <si>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</si>
  <si>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</si>
  <si>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</si>
  <si>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</si>
  <si>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</si>
  <si>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</si>
  <si>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</si>
  <si>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</si>
  <si>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</si>
  <si>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</si>
  <si>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</si>
  <si>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</si>
  <si>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</si>
  <si>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</si>
  <si>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</si>
  <si>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</si>
  <si>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</si>
  <si>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</si>
  <si>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</si>
  <si>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</si>
  <si>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</si>
  <si>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</si>
  <si>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</si>
  <si>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</si>
  <si>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</si>
  <si>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</si>
  <si>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</si>
  <si>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</si>
  <si>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</si>
  <si>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</si>
  <si>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</si>
  <si>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</si>
  <si>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</si>
  <si>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</si>
  <si>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</si>
  <si>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</si>
  <si>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</si>
  <si>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</si>
  <si>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</si>
  <si>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</si>
  <si>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</si>
  <si>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</si>
  <si>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</si>
  <si>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</si>
  <si>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</si>
  <si>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</si>
  <si>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</si>
  <si>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</si>
  <si>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</si>
  <si>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</si>
  <si>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</si>
  <si>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</si>
  <si>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</si>
  <si>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</si>
  <si>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</si>
  <si>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</si>
  <si>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</si>
  <si>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</si>
  <si>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</si>
  <si>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</si>
  <si>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</si>
  <si>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</si>
  <si>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</si>
  <si>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</si>
  <si>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</si>
  <si>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</si>
  <si>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</si>
  <si>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</si>
  <si>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</si>
  <si>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</si>
  <si>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</si>
  <si>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</si>
  <si>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</si>
  <si>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</si>
  <si>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</si>
  <si>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</si>
  <si>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</si>
  <si>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</si>
  <si>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</si>
  <si>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</si>
  <si>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</si>
  <si>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</si>
  <si>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</si>
  <si>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</si>
  <si>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</si>
  <si>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</si>
  <si>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</si>
  <si>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</si>
  <si>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</si>
  <si>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</si>
  <si>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</si>
  <si>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</si>
  <si>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</si>
  <si>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</si>
  <si>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</si>
  <si>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</si>
  <si>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</si>
  <si>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</si>
  <si>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</si>
  <si>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</si>
  <si>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</si>
  <si>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</si>
  <si>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</si>
  <si>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</si>
  <si>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</si>
  <si>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</si>
  <si>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</si>
  <si>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</si>
  <si>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</si>
  <si>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</si>
  <si>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</si>
  <si>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</si>
  <si>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</si>
  <si>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</si>
  <si>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</si>
  <si>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</si>
  <si>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</si>
  <si>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</si>
  <si>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</si>
  <si>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</si>
  <si>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</si>
  <si>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</si>
  <si>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</si>
  <si>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</si>
  <si>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</si>
  <si>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</si>
  <si>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</si>
  <si>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</si>
  <si>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</si>
  <si>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</si>
  <si>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</si>
  <si>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</si>
  <si>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</si>
  <si>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</si>
  <si>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</si>
  <si>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</si>
  <si>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</si>
  <si>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</si>
  <si>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</si>
  <si>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</si>
  <si>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</si>
  <si>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</si>
  <si>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</si>
  <si>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</si>
  <si>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</si>
  <si>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</si>
  <si>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</si>
  <si>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</si>
  <si>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</si>
  <si>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</si>
  <si>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</si>
  <si>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</si>
  <si>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</si>
  <si>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</si>
  <si>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</si>
  <si>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</si>
  <si>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</si>
  <si>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</si>
  <si>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</si>
  <si>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</si>
  <si>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</si>
  <si>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</si>
  <si>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</si>
  <si>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</si>
  <si>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</si>
  <si>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</si>
  <si>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</si>
  <si>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</si>
  <si>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</si>
  <si>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</si>
  <si>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</si>
  <si>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</si>
  <si>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</si>
  <si>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</si>
  <si>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</si>
  <si>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</si>
  <si>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</si>
  <si>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</si>
  <si>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</si>
  <si>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</si>
  <si>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</si>
  <si>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</si>
  <si>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</si>
  <si>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</si>
  <si>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</si>
  <si>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</si>
  <si>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</si>
  <si>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</si>
  <si>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</si>
  <si>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</si>
  <si>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</si>
  <si>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</si>
  <si>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</si>
  <si>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</si>
  <si>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</si>
  <si>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</si>
  <si>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</si>
  <si>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</si>
  <si>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</si>
  <si>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</si>
  <si>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</si>
  <si>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</si>
  <si>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</si>
  <si>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</si>
  <si>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DSUM</t>
  </si>
  <si>
    <t>Formula</t>
  </si>
  <si>
    <t>DAVERAGE</t>
  </si>
  <si>
    <t>DCOUNT</t>
  </si>
  <si>
    <t>DMAX</t>
  </si>
  <si>
    <t>DMIN</t>
  </si>
  <si>
    <t>DCOUNTA</t>
  </si>
  <si>
    <t>Total Country</t>
  </si>
  <si>
    <t>Total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</si>
</sst>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39997558519241921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44" fontId="0" fillId="3" borderId="3" xfId="1" applyFont="1" applyFill="1" applyBorder="1"/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66E04-A3F9-4DD6-BEFF-3D6FCFD1AA02}" name="Table1" displayName="Table1" ref="A1:O2001" totalsRowShown="0">
  <autoFilter ref="A1:O2001" xr:uid="{A4666E04-A3F9-4DD6-BEFF-3D6FCFD1AA02}"/>
  <tableColumns count="15">
    <tableColumn id="1" xr3:uid="{5A57E83D-5D4F-4496-805E-83743AE04E38}" name="ID"/>
    <tableColumn id="2" xr3:uid="{A29312C5-9A0B-4905-AC25-003A24A55A1B}" name="First_Name"/>
    <tableColumn id="3" xr3:uid="{49DECFC2-45D7-4248-9D5D-69C0CA05AF52}" name="Last_Name"/>
    <tableColumn id="4" xr3:uid="{D2AB7869-0464-462D-BF73-AEF49E95B4FB}" name="Age"/>
    <tableColumn id="5" xr3:uid="{B6217796-0EAF-45C5-92AA-D29D905733DE}" name="Gender"/>
    <tableColumn id="6" xr3:uid="{EBFD5B16-2163-4A02-8971-49FB1E5AC076}" name="Country"/>
    <tableColumn id="7" xr3:uid="{CDC53D18-EC86-475E-AAA3-8B1D3BC4D11B}" name="State"/>
    <tableColumn id="8" xr3:uid="{7F535CBF-0182-4C4B-A5F4-D4CAE3B594DF}" name="City"/>
    <tableColumn id="9" xr3:uid="{941D0D99-05F9-4BB4-BF34-B585668D35FD}" name="Department"/>
    <tableColumn id="10" xr3:uid="{31C144E8-CC39-4B1A-BEA4-ECD686A4E51A}" name="Salary"/>
    <tableColumn id="11" xr3:uid="{D8716522-3D58-4F1B-B318-FD1598BBC1F6}" name="Experience_Years"/>
    <tableColumn id="12" xr3:uid="{31BB5F79-DBAB-494B-B3AB-8D7CBAF0CAC9}" name="Joining_Date"/>
    <tableColumn id="13" xr3:uid="{D5417F08-2774-4549-BC6C-1F23FBF3C9AE}" name="Performance_Score"/>
    <tableColumn id="14" xr3:uid="{55A969C5-F2AD-4031-8A72-7AC73498CFB0}" name="Email"/>
    <tableColumn id="15" xr3:uid="{837A8B3D-113B-448D-A070-ADF39B232A0F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H1" zoomScaleNormal="100" workbookViewId="0">
      <selection activeCell="T28" sqref="T28"/>
    </sheetView>
  </sheetViews>
  <sheetFormatPr defaultColWidth="11.08984375" defaultRowHeight="14.5" x14ac:dyDescent="0.35"/>
  <cols>
    <col min="14" max="14" width="20.36328125" customWidth="1"/>
    <col min="17" max="17" width="15.6328125" customWidth="1"/>
    <col min="18" max="18" width="29.6328125" customWidth="1"/>
    <col min="19" max="19" width="16.7265625" customWidth="1"/>
    <col min="20" max="20" width="23.26953125" customWidth="1"/>
    <col min="21" max="21" width="15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9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9" ht="15" thickBot="1" x14ac:dyDescent="0.4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  <c r="R4" s="1" t="s">
        <v>3614</v>
      </c>
      <c r="S4" s="1" t="s">
        <v>3615</v>
      </c>
    </row>
    <row r="5" spans="1:19" ht="15" thickTop="1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  <c r="R5" s="2" t="s">
        <v>18</v>
      </c>
      <c r="S5" s="2" t="s">
        <v>21</v>
      </c>
    </row>
    <row r="6" spans="1:19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  <c r="R6" s="2" t="s">
        <v>26</v>
      </c>
      <c r="S6" s="2" t="s">
        <v>29</v>
      </c>
    </row>
    <row r="7" spans="1:19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  <c r="R7" s="2" t="s">
        <v>33</v>
      </c>
      <c r="S7" s="2" t="s">
        <v>36</v>
      </c>
    </row>
    <row r="8" spans="1:19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  <c r="R8" s="2" t="s">
        <v>41</v>
      </c>
      <c r="S8" s="2" t="s">
        <v>42</v>
      </c>
    </row>
    <row r="9" spans="1:19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  <c r="R9" s="2" t="s">
        <v>65</v>
      </c>
      <c r="S9" s="2" t="s">
        <v>55</v>
      </c>
    </row>
    <row r="10" spans="1:19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  <c r="R10" s="4"/>
      <c r="S10" s="2" t="s">
        <v>74</v>
      </c>
    </row>
    <row r="11" spans="1:19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9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9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9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9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9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21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21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21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  <c r="Q19" s="8" t="s">
        <v>8</v>
      </c>
      <c r="R19" s="8" t="s">
        <v>4</v>
      </c>
      <c r="S19" s="8" t="s">
        <v>5</v>
      </c>
      <c r="T19" s="8" t="s">
        <v>9</v>
      </c>
      <c r="U19" s="8" t="s">
        <v>3608</v>
      </c>
    </row>
    <row r="20" spans="1:21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  <c r="Q20" s="7" t="s">
        <v>36</v>
      </c>
      <c r="R20" s="7" t="s">
        <v>17</v>
      </c>
      <c r="S20" s="7" t="s">
        <v>26</v>
      </c>
      <c r="T20" s="5">
        <f>DSUM(Table1[#All],"Salary",Q19:S20)</f>
        <v>64809335</v>
      </c>
      <c r="U20" s="6" t="s">
        <v>3607</v>
      </c>
    </row>
    <row r="21" spans="1:21" ht="14.5" customHeight="1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  <c r="Q21" s="7"/>
      <c r="R21" s="7"/>
      <c r="S21" s="7"/>
      <c r="T21" s="5">
        <f>DAVERAGE(Table1[#All],"Salary",Q19:S20)</f>
        <v>1440207.4444444445</v>
      </c>
      <c r="U21" s="6" t="s">
        <v>3609</v>
      </c>
    </row>
    <row r="22" spans="1:21" ht="14.5" customHeight="1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  <c r="Q22" s="7"/>
      <c r="R22" s="7"/>
      <c r="S22" s="7"/>
      <c r="T22" s="5">
        <f>DCOUNT(Table1[#All],"Salary",Q19:S20)</f>
        <v>45</v>
      </c>
      <c r="U22" s="6" t="s">
        <v>3610</v>
      </c>
    </row>
    <row r="23" spans="1:21" ht="14.5" customHeight="1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  <c r="Q23" s="7"/>
      <c r="R23" s="7"/>
      <c r="S23" s="7"/>
      <c r="T23" s="5">
        <f>DCOUNTA(Table1[#All],"Salary",Q19:S20)</f>
        <v>45</v>
      </c>
      <c r="U23" s="6" t="s">
        <v>3613</v>
      </c>
    </row>
    <row r="24" spans="1:21" ht="14.5" customHeight="1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  <c r="Q24" s="7"/>
      <c r="R24" s="7"/>
      <c r="S24" s="7"/>
      <c r="T24" s="5">
        <f>DMAX(Table1[#All],"Salary",Q19:S20)</f>
        <v>2499641</v>
      </c>
      <c r="U24" s="6" t="s">
        <v>3611</v>
      </c>
    </row>
    <row r="25" spans="1:21" ht="14.5" customHeight="1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  <c r="Q25" s="7"/>
      <c r="R25" s="7"/>
      <c r="S25" s="7"/>
      <c r="T25" s="5">
        <f>DMIN(Table1[#All],"Salary",Q19:S20)</f>
        <v>343105</v>
      </c>
      <c r="U25" s="6" t="s">
        <v>3612</v>
      </c>
    </row>
    <row r="26" spans="1:21" ht="14.5" customHeight="1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21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21" ht="14.5" customHeight="1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21" ht="14.5" customHeight="1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21" ht="14.5" customHeight="1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21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21" ht="14.5" customHeight="1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ht="14.5" customHeight="1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ht="14.5" customHeight="1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ht="14.5" customHeight="1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21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21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21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21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21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21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21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21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21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21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21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21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21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  <c r="U77" s="3"/>
    </row>
    <row r="78" spans="1:21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21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21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mergeCells count="3">
    <mergeCell ref="Q20:Q25"/>
    <mergeCell ref="R20:R25"/>
    <mergeCell ref="S20:S25"/>
  </mergeCells>
  <dataValidations count="3">
    <dataValidation type="list" allowBlank="1" showInputMessage="1" showErrorMessage="1" sqref="R20:R25" xr:uid="{BEAC7621-2A22-41BE-AE8F-B4BFB9D27AAB}">
      <formula1>"Male,Female"</formula1>
    </dataValidation>
    <dataValidation type="list" allowBlank="1" showInputMessage="1" showErrorMessage="1" sqref="S20" xr:uid="{7AFAD598-CC94-4147-8935-FFC1A9E54592}">
      <formula1>$R$5:$R$9</formula1>
    </dataValidation>
    <dataValidation type="list" allowBlank="1" showInputMessage="1" showErrorMessage="1" sqref="Q20:Q25" xr:uid="{A2F15A94-5620-4FBF-B130-1E36DCD66CB7}">
      <formula1>$S$5:$S$10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D0B6-278A-4E1A-B9EF-389263C602CA}">
  <dimension ref="H1:I7"/>
  <sheetViews>
    <sheetView workbookViewId="0">
      <selection activeCell="I1" sqref="I1:I7"/>
    </sheetView>
  </sheetViews>
  <sheetFormatPr defaultRowHeight="14.5" x14ac:dyDescent="0.35"/>
  <sheetData>
    <row r="1" spans="8:9" x14ac:dyDescent="0.35">
      <c r="H1" t="s">
        <v>5</v>
      </c>
      <c r="I1" t="s">
        <v>8</v>
      </c>
    </row>
    <row r="2" spans="8:9" x14ac:dyDescent="0.35">
      <c r="H2" t="s">
        <v>18</v>
      </c>
      <c r="I2" t="s">
        <v>21</v>
      </c>
    </row>
    <row r="3" spans="8:9" x14ac:dyDescent="0.35">
      <c r="H3" t="s">
        <v>26</v>
      </c>
      <c r="I3" t="s">
        <v>29</v>
      </c>
    </row>
    <row r="4" spans="8:9" x14ac:dyDescent="0.35">
      <c r="H4" t="s">
        <v>33</v>
      </c>
      <c r="I4" t="s">
        <v>36</v>
      </c>
    </row>
    <row r="5" spans="8:9" x14ac:dyDescent="0.35">
      <c r="H5" t="s">
        <v>41</v>
      </c>
      <c r="I5" t="s">
        <v>42</v>
      </c>
    </row>
    <row r="6" spans="8:9" x14ac:dyDescent="0.35">
      <c r="H6" t="s">
        <v>65</v>
      </c>
      <c r="I6" t="s">
        <v>55</v>
      </c>
    </row>
    <row r="7" spans="8:9" x14ac:dyDescent="0.35">
      <c r="I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2026-03-08T05:18:04Z</dcterms:modified>
</cp:coreProperties>
</file>